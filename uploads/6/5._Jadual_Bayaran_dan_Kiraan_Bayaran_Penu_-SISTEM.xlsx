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C:\Users\User\Documents\Tawafuq 291121\ADVISORY PROJECT\23020 Koperasi LGM\Pengiraan Pembiayaan\"/>
    </mc:Choice>
  </mc:AlternateContent>
  <xr:revisionPtr revIDLastSave="0" documentId="13_ncr:1_{E50DFB86-24E6-4353-9F74-FA89581E7F84}" xr6:coauthVersionLast="47" xr6:coauthVersionMax="47" xr10:uidLastSave="{00000000-0000-0000-0000-000000000000}"/>
  <bookViews>
    <workbookView xWindow="-110" yWindow="-110" windowWidth="19420" windowHeight="10300" xr2:uid="{00000000-000D-0000-FFFF-FFFF00000000}"/>
  </bookViews>
  <sheets>
    <sheet name="JadualBayaranPmbynPrltnRumah" sheetId="1" r:id="rId1"/>
    <sheet name="Pengiraan Pembayaran Penuh" sheetId="2" r:id="rId2"/>
  </sheets>
  <calcPr calcId="191029"/>
  <extLst>
    <ext uri="GoogleSheetsCustomDataVersion2">
      <go:sheetsCustomData xmlns:go="http://customooxmlschemas.google.com/" r:id="rId5" roundtripDataChecksum="p604iseJjRB2ZoQP+uzF2cPiJTUL1i42RiCRRgAb75Q="/>
    </ext>
  </extLst>
</workbook>
</file>

<file path=xl/calcChain.xml><?xml version="1.0" encoding="utf-8"?>
<calcChain xmlns="http://schemas.openxmlformats.org/spreadsheetml/2006/main">
  <c r="K5" i="1" l="1"/>
  <c r="L32" i="2" l="1"/>
  <c r="L30" i="2"/>
  <c r="M27" i="2"/>
  <c r="F37" i="2"/>
  <c r="L17" i="2"/>
  <c r="L15" i="2"/>
  <c r="L24" i="2" s="1"/>
  <c r="N9" i="2"/>
  <c r="F16" i="1"/>
  <c r="F8" i="1"/>
  <c r="K7" i="1"/>
  <c r="C23" i="1" l="1"/>
  <c r="C19" i="1"/>
  <c r="C70" i="1"/>
  <c r="C58" i="1"/>
  <c r="C46" i="1"/>
  <c r="C38" i="1"/>
  <c r="C30" i="1"/>
  <c r="C26" i="1"/>
  <c r="C22" i="1"/>
  <c r="C17" i="1"/>
  <c r="F17" i="1" s="1"/>
  <c r="C73" i="1"/>
  <c r="C69" i="1"/>
  <c r="C65" i="1"/>
  <c r="C61" i="1"/>
  <c r="C57" i="1"/>
  <c r="C53" i="1"/>
  <c r="C49" i="1"/>
  <c r="C45" i="1"/>
  <c r="C41" i="1"/>
  <c r="C37" i="1"/>
  <c r="C33" i="1"/>
  <c r="C29" i="1"/>
  <c r="C25" i="1"/>
  <c r="C21" i="1"/>
  <c r="C18" i="1"/>
  <c r="C54" i="1"/>
  <c r="C72" i="1"/>
  <c r="C52" i="1"/>
  <c r="C36" i="1"/>
  <c r="C20" i="1"/>
  <c r="C74" i="1"/>
  <c r="C62" i="1"/>
  <c r="C50" i="1"/>
  <c r="C34" i="1"/>
  <c r="C68" i="1"/>
  <c r="C64" i="1"/>
  <c r="C60" i="1"/>
  <c r="C48" i="1"/>
  <c r="C44" i="1"/>
  <c r="C32" i="1"/>
  <c r="C24" i="1"/>
  <c r="C66" i="1"/>
  <c r="C42" i="1"/>
  <c r="C76" i="1"/>
  <c r="C56" i="1"/>
  <c r="C40" i="1"/>
  <c r="C28" i="1"/>
  <c r="C75" i="1"/>
  <c r="C71" i="1"/>
  <c r="C67" i="1"/>
  <c r="C63" i="1"/>
  <c r="C59" i="1"/>
  <c r="C55" i="1"/>
  <c r="C51" i="1"/>
  <c r="C47" i="1"/>
  <c r="C43" i="1"/>
  <c r="C39" i="1"/>
  <c r="C35" i="1"/>
  <c r="C31" i="1"/>
  <c r="C27" i="1"/>
  <c r="M43" i="2"/>
  <c r="L21" i="2"/>
  <c r="L25" i="2" s="1"/>
  <c r="L27" i="2" s="1"/>
  <c r="L34" i="2" l="1"/>
  <c r="D18" i="2" s="1"/>
  <c r="F18" i="1"/>
  <c r="F19" i="1" s="1"/>
  <c r="F20" i="1" s="1"/>
  <c r="F21" i="1" s="1"/>
  <c r="F22" i="1" s="1"/>
  <c r="F23" i="1" s="1"/>
  <c r="F24" i="1" s="1"/>
  <c r="F25" i="1" s="1"/>
  <c r="F26" i="1" s="1"/>
  <c r="F27" i="1" s="1"/>
  <c r="F28" i="1" s="1"/>
  <c r="F29" i="1" s="1"/>
  <c r="F30" i="1" s="1"/>
  <c r="F31" i="1" s="1"/>
  <c r="F32" i="1" s="1"/>
  <c r="F33" i="1" s="1"/>
  <c r="F34" i="1" s="1"/>
  <c r="F35" i="1" s="1"/>
  <c r="F36" i="1" s="1"/>
  <c r="F37" i="1" s="1"/>
  <c r="F38" i="1" s="1"/>
  <c r="F39" i="1" s="1"/>
  <c r="F40" i="1" s="1"/>
  <c r="F41" i="1" s="1"/>
  <c r="F42" i="1" s="1"/>
  <c r="F43" i="1" s="1"/>
  <c r="F44" i="1" s="1"/>
  <c r="F45" i="1" s="1"/>
  <c r="F46" i="1" s="1"/>
  <c r="F47" i="1" s="1"/>
  <c r="F48" i="1" s="1"/>
  <c r="F49" i="1" s="1"/>
  <c r="F50" i="1" s="1"/>
  <c r="F51" i="1" s="1"/>
  <c r="F52" i="1" s="1"/>
  <c r="F53" i="1" s="1"/>
  <c r="F54" i="1" s="1"/>
  <c r="F55" i="1" s="1"/>
  <c r="F56" i="1" s="1"/>
  <c r="F57" i="1" s="1"/>
  <c r="F58" i="1" s="1"/>
  <c r="F59" i="1" s="1"/>
  <c r="F60" i="1" s="1"/>
  <c r="F61" i="1" s="1"/>
  <c r="F62" i="1" s="1"/>
  <c r="F63" i="1" s="1"/>
  <c r="F64" i="1" s="1"/>
  <c r="F65" i="1" s="1"/>
  <c r="F66" i="1" s="1"/>
  <c r="F67" i="1" s="1"/>
  <c r="F68" i="1" s="1"/>
  <c r="F69" i="1" s="1"/>
  <c r="F70" i="1" s="1"/>
  <c r="F71" i="1" s="1"/>
  <c r="F72" i="1" s="1"/>
  <c r="F73" i="1" s="1"/>
  <c r="F74" i="1" s="1"/>
  <c r="F75" i="1" s="1"/>
  <c r="F76" i="1" s="1"/>
  <c r="M28" i="2"/>
  <c r="L45" i="2" s="1"/>
  <c r="B9" i="1" l="1"/>
  <c r="F9" i="1" l="1"/>
  <c r="G16" i="1"/>
  <c r="K6" i="1" s="1"/>
  <c r="L36" i="2" s="1"/>
  <c r="B8" i="1"/>
  <c r="D7" i="1" s="1"/>
  <c r="N11" i="1" l="1"/>
  <c r="E16" i="1"/>
  <c r="D71" i="1"/>
  <c r="D75" i="1"/>
  <c r="D24" i="1"/>
  <c r="D36" i="1"/>
  <c r="D44" i="1"/>
  <c r="D56" i="1"/>
  <c r="D64" i="1"/>
  <c r="D76" i="1"/>
  <c r="D23" i="1"/>
  <c r="D27" i="1"/>
  <c r="D31" i="1"/>
  <c r="D35" i="1"/>
  <c r="D39" i="1"/>
  <c r="D43" i="1"/>
  <c r="D47" i="1"/>
  <c r="D51" i="1"/>
  <c r="D55" i="1"/>
  <c r="D59" i="1"/>
  <c r="D63" i="1"/>
  <c r="D67" i="1"/>
  <c r="D20" i="1"/>
  <c r="D32" i="1"/>
  <c r="D40" i="1"/>
  <c r="D52" i="1"/>
  <c r="D60" i="1"/>
  <c r="D72" i="1"/>
  <c r="D28" i="1"/>
  <c r="D48" i="1"/>
  <c r="D68" i="1"/>
  <c r="D17" i="1"/>
  <c r="G17" i="1" s="1"/>
  <c r="D18" i="1"/>
  <c r="D21" i="1"/>
  <c r="D25" i="1"/>
  <c r="D29" i="1"/>
  <c r="D33" i="1"/>
  <c r="D37" i="1"/>
  <c r="D41" i="1"/>
  <c r="D45" i="1"/>
  <c r="D49" i="1"/>
  <c r="D53" i="1"/>
  <c r="D57" i="1"/>
  <c r="D61" i="1"/>
  <c r="D65" i="1"/>
  <c r="D69" i="1"/>
  <c r="D73" i="1"/>
  <c r="D22" i="1"/>
  <c r="D26" i="1"/>
  <c r="D30" i="1"/>
  <c r="D34" i="1"/>
  <c r="D38" i="1"/>
  <c r="D42" i="1"/>
  <c r="D46" i="1"/>
  <c r="D50" i="1"/>
  <c r="D54" i="1"/>
  <c r="D58" i="1"/>
  <c r="D62" i="1"/>
  <c r="D66" i="1"/>
  <c r="D70" i="1"/>
  <c r="D74" i="1"/>
  <c r="D19" i="1"/>
  <c r="O3" i="1"/>
  <c r="N10" i="1" s="1"/>
  <c r="G18" i="1" l="1"/>
  <c r="G19" i="1" s="1"/>
  <c r="G20" i="1" s="1"/>
  <c r="G21" i="1" s="1"/>
  <c r="G22" i="1" s="1"/>
  <c r="G23" i="1" s="1"/>
  <c r="G24" i="1" s="1"/>
  <c r="G25" i="1" s="1"/>
  <c r="G26" i="1" s="1"/>
  <c r="G27" i="1" s="1"/>
  <c r="G28" i="1" s="1"/>
  <c r="G29" i="1" s="1"/>
  <c r="G30" i="1" s="1"/>
  <c r="G31" i="1" s="1"/>
  <c r="G32" i="1" s="1"/>
  <c r="G33" i="1" s="1"/>
  <c r="G34" i="1" s="1"/>
  <c r="G35" i="1" s="1"/>
  <c r="G36" i="1" s="1"/>
  <c r="G37" i="1" s="1"/>
  <c r="G38" i="1" s="1"/>
  <c r="G39" i="1" s="1"/>
  <c r="G40" i="1" s="1"/>
  <c r="G41" i="1" s="1"/>
  <c r="G42" i="1" s="1"/>
  <c r="G43" i="1" s="1"/>
  <c r="G44" i="1" s="1"/>
  <c r="G45" i="1" s="1"/>
  <c r="G46" i="1" s="1"/>
  <c r="G47" i="1" s="1"/>
  <c r="G48" i="1" s="1"/>
  <c r="G49" i="1" s="1"/>
  <c r="G50" i="1" s="1"/>
  <c r="G51" i="1" s="1"/>
  <c r="G52" i="1" s="1"/>
  <c r="G53" i="1" s="1"/>
  <c r="G54" i="1" s="1"/>
  <c r="G55" i="1" s="1"/>
  <c r="G56" i="1" s="1"/>
  <c r="G57" i="1" s="1"/>
  <c r="G58" i="1" s="1"/>
  <c r="G59" i="1" s="1"/>
  <c r="G60" i="1" s="1"/>
  <c r="G61" i="1" s="1"/>
  <c r="G62" i="1" s="1"/>
  <c r="G63" i="1" s="1"/>
  <c r="G64" i="1" s="1"/>
  <c r="G65" i="1" s="1"/>
  <c r="G66" i="1" s="1"/>
  <c r="G67" i="1" s="1"/>
  <c r="G68" i="1" s="1"/>
  <c r="G69" i="1" s="1"/>
  <c r="G70" i="1" s="1"/>
  <c r="G71" i="1" s="1"/>
  <c r="G72" i="1" s="1"/>
  <c r="G73" i="1" s="1"/>
  <c r="G74" i="1" s="1"/>
  <c r="G75" i="1" s="1"/>
  <c r="G76" i="1" s="1"/>
  <c r="B72" i="1"/>
  <c r="B25" i="1"/>
  <c r="B41" i="1"/>
  <c r="B53" i="1"/>
  <c r="B65" i="1"/>
  <c r="B73" i="1"/>
  <c r="N12" i="1"/>
  <c r="N13" i="1" s="1"/>
  <c r="B76" i="1"/>
  <c r="B21" i="1"/>
  <c r="B33" i="1"/>
  <c r="B37" i="1"/>
  <c r="B45" i="1"/>
  <c r="B49" i="1"/>
  <c r="B61" i="1"/>
  <c r="B69" i="1"/>
  <c r="B20" i="1"/>
  <c r="B24" i="1"/>
  <c r="B28" i="1"/>
  <c r="B32" i="1"/>
  <c r="B36" i="1"/>
  <c r="B40" i="1"/>
  <c r="B44" i="1"/>
  <c r="B48" i="1"/>
  <c r="B52" i="1"/>
  <c r="B56" i="1"/>
  <c r="B60" i="1"/>
  <c r="B64" i="1"/>
  <c r="B68" i="1"/>
  <c r="B29" i="1"/>
  <c r="B57" i="1"/>
  <c r="B18" i="1"/>
  <c r="B17" i="1"/>
  <c r="E17" i="1" s="1"/>
  <c r="E18" i="1" s="1"/>
  <c r="B22" i="1"/>
  <c r="B26" i="1"/>
  <c r="B30" i="1"/>
  <c r="B34" i="1"/>
  <c r="B38" i="1"/>
  <c r="B42" i="1"/>
  <c r="B46" i="1"/>
  <c r="B50" i="1"/>
  <c r="B54" i="1"/>
  <c r="B58" i="1"/>
  <c r="B62" i="1"/>
  <c r="B66" i="1"/>
  <c r="B70" i="1"/>
  <c r="B74" i="1"/>
  <c r="B19" i="1"/>
  <c r="B23" i="1"/>
  <c r="B27" i="1"/>
  <c r="B31" i="1"/>
  <c r="B35" i="1"/>
  <c r="B39" i="1"/>
  <c r="B43" i="1"/>
  <c r="B47" i="1"/>
  <c r="B51" i="1"/>
  <c r="B55" i="1"/>
  <c r="B59" i="1"/>
  <c r="B63" i="1"/>
  <c r="B67" i="1"/>
  <c r="B71" i="1"/>
  <c r="B75" i="1"/>
  <c r="L38" i="2"/>
  <c r="D23" i="2" s="1"/>
  <c r="L46" i="2"/>
  <c r="M46" i="2" s="1"/>
  <c r="M48" i="2" s="1"/>
  <c r="D20" i="2"/>
  <c r="E19" i="1" l="1"/>
  <c r="E20" i="1" s="1"/>
  <c r="E21" i="1" s="1"/>
  <c r="E22" i="1" s="1"/>
  <c r="E23" i="1" s="1"/>
  <c r="E24" i="1" s="1"/>
  <c r="E25" i="1" s="1"/>
  <c r="E26" i="1" s="1"/>
  <c r="E27" i="1" s="1"/>
  <c r="E28" i="1" s="1"/>
  <c r="E29" i="1" s="1"/>
  <c r="E30" i="1" s="1"/>
  <c r="E31" i="1" s="1"/>
  <c r="E32" i="1" s="1"/>
  <c r="E33" i="1" s="1"/>
  <c r="E34" i="1" s="1"/>
  <c r="E35" i="1" s="1"/>
  <c r="E36" i="1" s="1"/>
  <c r="E37" i="1" s="1"/>
  <c r="E38" i="1" s="1"/>
  <c r="E39" i="1" s="1"/>
  <c r="E40" i="1" s="1"/>
  <c r="E41" i="1" s="1"/>
  <c r="E42" i="1" s="1"/>
  <c r="E43" i="1" s="1"/>
  <c r="E44" i="1" s="1"/>
  <c r="E45" i="1" s="1"/>
  <c r="E46" i="1" s="1"/>
  <c r="E47" i="1" s="1"/>
  <c r="E48" i="1" s="1"/>
  <c r="E49" i="1" s="1"/>
  <c r="E50" i="1" s="1"/>
  <c r="E51" i="1" s="1"/>
  <c r="E52" i="1" s="1"/>
  <c r="E53" i="1" s="1"/>
  <c r="E54" i="1" s="1"/>
  <c r="E55" i="1" s="1"/>
  <c r="E56" i="1" s="1"/>
  <c r="E57" i="1" s="1"/>
  <c r="E58" i="1" s="1"/>
  <c r="E59" i="1" s="1"/>
  <c r="E60" i="1" s="1"/>
  <c r="E61" i="1" s="1"/>
  <c r="E62" i="1" s="1"/>
  <c r="E63" i="1" s="1"/>
  <c r="E64" i="1" s="1"/>
  <c r="E65" i="1" s="1"/>
  <c r="E66" i="1" s="1"/>
  <c r="E67" i="1" s="1"/>
  <c r="E68" i="1" s="1"/>
  <c r="E69" i="1" s="1"/>
  <c r="E70" i="1" s="1"/>
  <c r="E71" i="1" s="1"/>
  <c r="E72" i="1" s="1"/>
  <c r="E73" i="1" s="1"/>
  <c r="E74" i="1" s="1"/>
  <c r="E75" i="1" s="1"/>
  <c r="E7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theme="1"/>
            <rFont val="Calibri"/>
            <family val="2"/>
            <scheme val="minor"/>
          </rPr>
          <t>1. Terma2 yang digunakan dalam jadual ini perlu selari dengan terma2 yang digunakan dalam dokumen undang2.
2. Jadual dirangka jika pembiayaan peribadi mengikut struktur Tawarruq. Boleh berlaku perubahan bergantung kepada struktur Syariah yang digunakan.</t>
        </r>
      </text>
    </comment>
  </commentList>
  <extLst>
    <ext xmlns:r="http://schemas.openxmlformats.org/officeDocument/2006/relationships" uri="GoogleSheetsCustomDataVersion2">
      <go:sheetsCustomData xmlns:go="http://customooxmlschemas.google.com/" r:id="rId1" roundtripDataSignature="AMtx7mhJlhZp1RmFimad5SQsyTmKvg3GyA=="/>
    </ext>
  </extLst>
</comments>
</file>

<file path=xl/sharedStrings.xml><?xml version="1.0" encoding="utf-8"?>
<sst xmlns="http://schemas.openxmlformats.org/spreadsheetml/2006/main" count="126" uniqueCount="79">
  <si>
    <t>Nama Anggota:</t>
  </si>
  <si>
    <t>Jumlah Pembiayaan (Harga Kos Komoditi)</t>
  </si>
  <si>
    <t>Harga Jualan Komoditi</t>
  </si>
  <si>
    <t>Jumlah Keuntungan</t>
  </si>
  <si>
    <t>Bulan</t>
  </si>
  <si>
    <t>(RM)</t>
  </si>
  <si>
    <t>Pembayaran Bulanan</t>
  </si>
  <si>
    <t>Pembayaran Keuntungan Bulanan</t>
  </si>
  <si>
    <t>RM</t>
  </si>
  <si>
    <t>Tempoh Pembiayaan (Bulan)</t>
  </si>
  <si>
    <t>Kadar Keuntungan/ Tahunan</t>
  </si>
  <si>
    <t>Penyelesaian Awal</t>
  </si>
  <si>
    <t xml:space="preserve">Tempoh ansuran bulanan </t>
  </si>
  <si>
    <t xml:space="preserve">Baki Harga Jualan Komoditi </t>
  </si>
  <si>
    <t>yang telah dijelaskan</t>
  </si>
  <si>
    <t>pada bulan penyelasaian (RM)</t>
  </si>
  <si>
    <t>Baki tempoh pembiayaan (bulan)</t>
  </si>
  <si>
    <t>Rebat (Ibra') = Keuntungan Belum Terakru (RM)</t>
  </si>
  <si>
    <t>Penyelesaian Awal pada Bulan</t>
  </si>
  <si>
    <t>(Rujukan: GP7B SKM)
Nota: rujuk jadual sebelah illustrasi bayaran &amp; jadual di atas untuk formula pembayaran awal)</t>
  </si>
  <si>
    <t>Baki Harga Jualan Komoditi pada bulan penyelasaian (RM)</t>
  </si>
  <si>
    <t>Rebat = KBT pada bulan penyelesaian (RM)</t>
  </si>
  <si>
    <t>Ansuran pada bulan yang sama (RM)</t>
  </si>
  <si>
    <t>Jumlah Penyelesaian Awal</t>
  </si>
  <si>
    <t>Pembayaran Bulanan
(RM)</t>
  </si>
  <si>
    <t>Pembahagian Pembayaran Bulanan</t>
  </si>
  <si>
    <t>Pokok</t>
  </si>
  <si>
    <t>Keuntungan</t>
  </si>
  <si>
    <t>Keuntungan Belum Terakru
(RM)</t>
  </si>
  <si>
    <t>Baki Pokok 
(Harga Kos Komoditi)
(RM)</t>
  </si>
  <si>
    <t>Baki 
Pembiayaan (Harga 
Jualan Komoditi)</t>
  </si>
  <si>
    <t>PENTING!!</t>
  </si>
  <si>
    <t>Jumlah Pembiayaan</t>
  </si>
  <si>
    <t>:</t>
  </si>
  <si>
    <t>Rujukan</t>
  </si>
  <si>
    <t>Tarikh</t>
  </si>
  <si>
    <t>bersamaan</t>
  </si>
  <si>
    <t>tahun</t>
  </si>
  <si>
    <t>KEPADA SESIAPA YANG BERKENAAN</t>
  </si>
  <si>
    <t xml:space="preserve">Kadar keuntungan </t>
  </si>
  <si>
    <t>setahun</t>
  </si>
  <si>
    <t>Bulan yg telah dijelaskan</t>
  </si>
  <si>
    <t>bulan</t>
  </si>
  <si>
    <t>NAMA</t>
  </si>
  <si>
    <t>NO. ANGGOTA</t>
  </si>
  <si>
    <t>NO. KAD PENGENALAN</t>
  </si>
  <si>
    <t>Kadar keuntungan koperasi</t>
  </si>
  <si>
    <t>JUMLAH BAKI PEMBIAYAAN</t>
  </si>
  <si>
    <t>Jumlah keuntungan</t>
  </si>
  <si>
    <t>yang akan dibayar</t>
  </si>
  <si>
    <t>BAKI PEMBIAYAAN YANG</t>
  </si>
  <si>
    <t>AKAN DIJELASKAN</t>
  </si>
  <si>
    <t>Bayaran ansuran bulanan</t>
  </si>
  <si>
    <t>TARIKH AKHIR BAYARAN</t>
  </si>
  <si>
    <t>Komoditi</t>
  </si>
  <si>
    <t>Harga Kos Komoditi</t>
  </si>
  <si>
    <t>POTONGAN GAJI TERAKHIR</t>
  </si>
  <si>
    <t>JUMLAH POTONGAN</t>
  </si>
  <si>
    <t>Baki tempoh pembiayaan</t>
  </si>
  <si>
    <t xml:space="preserve">Jumlah baki pembiayaan </t>
  </si>
  <si>
    <t xml:space="preserve">Rebat </t>
  </si>
  <si>
    <t>JUMLAH</t>
  </si>
  <si>
    <t>Baki yang akan dijelaskan</t>
  </si>
  <si>
    <t>Nilai Pembiayaan</t>
  </si>
  <si>
    <t xml:space="preserve"> - Rebat</t>
  </si>
  <si>
    <t>Jumlah bersih</t>
  </si>
  <si>
    <t>Yang benar,</t>
  </si>
  <si>
    <t>[NAMA]</t>
  </si>
  <si>
    <t>JAWATAN</t>
  </si>
  <si>
    <t>[NAMA KOPERASI]</t>
  </si>
  <si>
    <t>Cara penggunaan: Hanya isikan ruang yang berwarna KUNING</t>
  </si>
  <si>
    <t>(Pembayaran Penuh)</t>
  </si>
  <si>
    <r>
      <t>Pastikan tetapan</t>
    </r>
    <r>
      <rPr>
        <b/>
        <sz val="11"/>
        <color rgb="FFFF0000"/>
        <rFont val="Century Gothic"/>
        <family val="2"/>
      </rPr>
      <t xml:space="preserve"> "from page 1 to 1"</t>
    </r>
    <r>
      <rPr>
        <b/>
        <sz val="11"/>
        <color theme="1"/>
        <rFont val="Century Gothic"/>
        <family val="2"/>
      </rPr>
      <t xml:space="preserve"> dibuat sebelum </t>
    </r>
    <r>
      <rPr>
        <b/>
        <i/>
        <sz val="11"/>
        <color theme="1"/>
        <rFont val="Century Gothic"/>
        <family val="2"/>
      </rPr>
      <t xml:space="preserve">statement </t>
    </r>
    <r>
      <rPr>
        <b/>
        <sz val="11"/>
        <color theme="1"/>
        <rFont val="Century Gothic"/>
        <family val="2"/>
      </rPr>
      <t>ini dicetak</t>
    </r>
  </si>
  <si>
    <r>
      <t xml:space="preserve">Tempoh </t>
    </r>
    <r>
      <rPr>
        <b/>
        <sz val="11"/>
        <color theme="1"/>
        <rFont val="Century Gothic"/>
        <family val="2"/>
      </rPr>
      <t>(Bulan)</t>
    </r>
  </si>
  <si>
    <r>
      <t xml:space="preserve">Cara penggunaan: Hanya isikan ruang yang berwarna </t>
    </r>
    <r>
      <rPr>
        <b/>
        <sz val="16"/>
        <color rgb="FFA29E00"/>
        <rFont val="Calibri"/>
        <family val="2"/>
        <scheme val="minor"/>
      </rPr>
      <t>KUNING</t>
    </r>
  </si>
  <si>
    <t>REBAT PEMBAYARAN AWAL</t>
  </si>
  <si>
    <t>KOPERASI LEMBAGA GETAH MALAYSIA BERHAD</t>
  </si>
  <si>
    <t>Tarikh Perjanjian Pembiayaan Peralatan Rumah:</t>
  </si>
  <si>
    <t>Pembayaran Pokok Bulanan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</si>
</sst>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M&quot;* #,##0.00_-;\-&quot;RM&quot;* #,##0.00_-;_-&quot;RM&quot;* &quot;-&quot;??_-;_-@_-"/>
    <numFmt numFmtId="43" formatCode="_-* #,##0.00_-;\-* #,##0.00_-;_-* &quot;-&quot;??_-;_-@_-"/>
    <numFmt numFmtId="164" formatCode="_(&quot;RM&quot;* #,##0.00_);_(&quot;RM&quot;* \(#,##0.00\);_(&quot;RM&quot;* &quot;-&quot;??_);_(@_)"/>
    <numFmt numFmtId="165" formatCode="[$-409]mmmm\-yy;@"/>
  </numFmts>
  <fonts count="23" x14ac:knownFonts="1">
    <font>
      <sz val="11"/>
      <color theme="1"/>
      <name val="Calibri"/>
      <scheme val="minor"/>
    </font>
    <font>
      <b/>
      <sz val="11"/>
      <color theme="1"/>
      <name val="Calibri"/>
      <family val="2"/>
    </font>
    <font>
      <sz val="11"/>
      <color theme="1"/>
      <name val="Calibri"/>
      <family val="2"/>
    </font>
    <font>
      <sz val="11"/>
      <name val="Calibri"/>
      <family val="2"/>
    </font>
    <font>
      <sz val="10"/>
      <color theme="1"/>
      <name val="Century Gothic"/>
      <family val="2"/>
    </font>
    <font>
      <b/>
      <sz val="10"/>
      <color theme="1"/>
      <name val="Century Gothic"/>
      <family val="2"/>
    </font>
    <font>
      <sz val="11"/>
      <color theme="1"/>
      <name val="Calibri"/>
      <family val="2"/>
      <scheme val="minor"/>
    </font>
    <font>
      <sz val="11"/>
      <color theme="1"/>
      <name val="Century Gothic"/>
      <family val="2"/>
    </font>
    <font>
      <sz val="10"/>
      <color theme="1"/>
      <name val="Century Gothic"/>
      <family val="2"/>
    </font>
    <font>
      <b/>
      <sz val="10"/>
      <color theme="1"/>
      <name val="Century Gothic"/>
      <family val="2"/>
    </font>
    <font>
      <b/>
      <sz val="11"/>
      <color theme="1"/>
      <name val="Century Gothic"/>
      <family val="2"/>
    </font>
    <font>
      <sz val="11"/>
      <name val="Century Gothic"/>
      <family val="2"/>
    </font>
    <font>
      <i/>
      <sz val="9"/>
      <color theme="1"/>
      <name val="Century Gothic"/>
      <family val="2"/>
    </font>
    <font>
      <sz val="10"/>
      <name val="Arial"/>
      <family val="2"/>
    </font>
    <font>
      <b/>
      <sz val="11"/>
      <color rgb="FFFF0000"/>
      <name val="Century Gothic"/>
      <family val="2"/>
    </font>
    <font>
      <b/>
      <i/>
      <sz val="11"/>
      <color theme="1"/>
      <name val="Century Gothic"/>
      <family val="2"/>
    </font>
    <font>
      <b/>
      <sz val="11"/>
      <name val="Century Gothic"/>
      <family val="2"/>
    </font>
    <font>
      <sz val="11"/>
      <color theme="0"/>
      <name val="Century Gothic"/>
      <family val="2"/>
    </font>
    <font>
      <b/>
      <sz val="11"/>
      <color theme="0"/>
      <name val="Century Gothic"/>
      <family val="2"/>
    </font>
    <font>
      <b/>
      <u/>
      <sz val="11"/>
      <color theme="0"/>
      <name val="Century Gothic"/>
      <family val="2"/>
    </font>
    <font>
      <b/>
      <u/>
      <sz val="11"/>
      <name val="Century Gothic"/>
      <family val="2"/>
    </font>
    <font>
      <b/>
      <sz val="16"/>
      <color theme="1"/>
      <name val="Calibri"/>
      <family val="2"/>
      <scheme val="minor"/>
    </font>
    <font>
      <b/>
      <sz val="16"/>
      <color rgb="FFA29E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9">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double">
        <color indexed="64"/>
      </bottom>
      <diagonal/>
    </border>
    <border>
      <left/>
      <right/>
      <top style="thin">
        <color rgb="FF000000"/>
      </top>
      <bottom/>
      <diagonal/>
    </border>
    <border>
      <left style="thin">
        <color indexed="64"/>
      </left>
      <right style="thin">
        <color indexed="64"/>
      </right>
      <top style="thin">
        <color indexed="64"/>
      </top>
      <bottom/>
      <diagonal/>
    </border>
  </borders>
  <cellStyleXfs count="4">
    <xf numFmtId="0" fontId="0" fillId="0" borderId="0"/>
    <xf numFmtId="43" fontId="6" fillId="0" borderId="0" applyFont="0" applyFill="0" applyBorder="0" applyAlignment="0" applyProtection="0"/>
    <xf numFmtId="9" fontId="6" fillId="0" borderId="0" applyFont="0" applyFill="0" applyBorder="0" applyAlignment="0" applyProtection="0"/>
    <xf numFmtId="0" fontId="13" fillId="0" borderId="0"/>
  </cellStyleXfs>
  <cellXfs count="97">
    <xf numFmtId="0" fontId="0" fillId="0" borderId="0" xfId="0"/>
    <xf numFmtId="0" fontId="1" fillId="0" borderId="0" xfId="0" applyFont="1"/>
    <xf numFmtId="0" fontId="4" fillId="0" borderId="2" xfId="0" applyFont="1" applyBorder="1" applyAlignment="1">
      <alignment horizontal="center" vertical="center" wrapText="1"/>
    </xf>
    <xf numFmtId="0" fontId="2" fillId="0" borderId="0" xfId="0" applyFont="1"/>
    <xf numFmtId="0" fontId="5" fillId="0" borderId="0" xfId="0" applyFont="1" applyAlignment="1">
      <alignment horizontal="center" vertical="center" wrapText="1"/>
    </xf>
    <xf numFmtId="0" fontId="5" fillId="0" borderId="2" xfId="0" applyFont="1" applyBorder="1" applyAlignment="1">
      <alignment horizontal="center" vertical="center" wrapText="1"/>
    </xf>
    <xf numFmtId="0" fontId="7" fillId="0" borderId="0" xfId="0" applyFont="1"/>
    <xf numFmtId="44" fontId="4" fillId="0" borderId="2" xfId="0" applyNumberFormat="1" applyFont="1" applyBorder="1" applyAlignment="1">
      <alignment horizontal="center" vertical="center" wrapText="1"/>
    </xf>
    <xf numFmtId="0" fontId="8" fillId="0" borderId="2" xfId="0" applyFont="1" applyBorder="1" applyAlignment="1">
      <alignment horizontal="center" vertical="center" wrapText="1"/>
    </xf>
    <xf numFmtId="0" fontId="7" fillId="0" borderId="13" xfId="0" applyFont="1" applyBorder="1" applyAlignment="1">
      <alignment horizontal="center" vertical="center" wrapText="1"/>
    </xf>
    <xf numFmtId="44" fontId="7" fillId="0" borderId="13" xfId="0" applyNumberFormat="1" applyFont="1" applyBorder="1"/>
    <xf numFmtId="0" fontId="0" fillId="3" borderId="0" xfId="0" applyFill="1"/>
    <xf numFmtId="0" fontId="1" fillId="3" borderId="0" xfId="0" applyFont="1" applyFill="1"/>
    <xf numFmtId="0" fontId="2" fillId="3" borderId="0" xfId="0" applyFont="1" applyFill="1"/>
    <xf numFmtId="0" fontId="9" fillId="0" borderId="2" xfId="0" applyFont="1" applyBorder="1" applyAlignment="1">
      <alignment horizontal="center" vertical="center" wrapText="1"/>
    </xf>
    <xf numFmtId="0" fontId="8" fillId="0" borderId="2" xfId="0" applyFont="1" applyBorder="1" applyAlignment="1">
      <alignment horizontal="left" vertical="center" wrapText="1"/>
    </xf>
    <xf numFmtId="44" fontId="8" fillId="0" borderId="3" xfId="0" applyNumberFormat="1" applyFont="1" applyBorder="1" applyAlignment="1">
      <alignment horizontal="left" vertical="center" wrapText="1"/>
    </xf>
    <xf numFmtId="44" fontId="8" fillId="0" borderId="2" xfId="0" applyNumberFormat="1" applyFont="1" applyBorder="1" applyAlignment="1">
      <alignment horizontal="left" vertical="center" wrapText="1"/>
    </xf>
    <xf numFmtId="0" fontId="10" fillId="0" borderId="0" xfId="0" applyFont="1"/>
    <xf numFmtId="0" fontId="9" fillId="0" borderId="3" xfId="0" applyFont="1" applyBorder="1" applyAlignment="1">
      <alignment horizontal="center" vertical="center" wrapText="1"/>
    </xf>
    <xf numFmtId="0" fontId="5" fillId="0" borderId="3" xfId="0" applyFont="1" applyBorder="1" applyAlignment="1">
      <alignment horizontal="center" vertical="center" wrapText="1"/>
    </xf>
    <xf numFmtId="44" fontId="8" fillId="0" borderId="12" xfId="0" applyNumberFormat="1" applyFont="1" applyBorder="1" applyAlignment="1">
      <alignment horizontal="center" vertical="center" wrapText="1"/>
    </xf>
    <xf numFmtId="44" fontId="4" fillId="2" borderId="2" xfId="0"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9" fontId="4" fillId="2" borderId="3" xfId="0" applyNumberFormat="1" applyFont="1" applyFill="1" applyBorder="1" applyAlignment="1">
      <alignment horizontal="center" vertical="center" wrapText="1"/>
    </xf>
    <xf numFmtId="0" fontId="10" fillId="3" borderId="0" xfId="0" applyFont="1" applyFill="1"/>
    <xf numFmtId="0" fontId="7" fillId="3" borderId="0" xfId="0" applyFont="1" applyFill="1"/>
    <xf numFmtId="0" fontId="7" fillId="2" borderId="13" xfId="0" applyFont="1" applyFill="1" applyBorder="1"/>
    <xf numFmtId="44" fontId="7" fillId="3" borderId="13" xfId="0" applyNumberFormat="1" applyFont="1" applyFill="1" applyBorder="1"/>
    <xf numFmtId="0" fontId="7" fillId="3" borderId="13" xfId="0" applyFont="1" applyFill="1" applyBorder="1"/>
    <xf numFmtId="0" fontId="12" fillId="3" borderId="0" xfId="0" applyFont="1" applyFill="1" applyAlignment="1">
      <alignment vertical="top" wrapText="1"/>
    </xf>
    <xf numFmtId="0" fontId="7" fillId="3" borderId="14" xfId="0" applyFont="1" applyFill="1" applyBorder="1"/>
    <xf numFmtId="44" fontId="7" fillId="3" borderId="14" xfId="0" applyNumberFormat="1" applyFont="1" applyFill="1" applyBorder="1"/>
    <xf numFmtId="44" fontId="7" fillId="3" borderId="0" xfId="0" applyNumberFormat="1" applyFont="1" applyFill="1"/>
    <xf numFmtId="0" fontId="7" fillId="3" borderId="15" xfId="0" applyFont="1" applyFill="1" applyBorder="1"/>
    <xf numFmtId="44" fontId="7" fillId="3" borderId="15" xfId="0" applyNumberFormat="1" applyFont="1" applyFill="1" applyBorder="1"/>
    <xf numFmtId="0" fontId="10" fillId="3" borderId="16" xfId="0" applyFont="1" applyFill="1" applyBorder="1"/>
    <xf numFmtId="44" fontId="10" fillId="3" borderId="16" xfId="0" applyNumberFormat="1" applyFont="1" applyFill="1" applyBorder="1"/>
    <xf numFmtId="164" fontId="11" fillId="2" borderId="13" xfId="0" applyNumberFormat="1" applyFont="1" applyFill="1" applyBorder="1" applyProtection="1">
      <protection locked="0"/>
    </xf>
    <xf numFmtId="0" fontId="7" fillId="0" borderId="15" xfId="0" applyFont="1" applyBorder="1" applyAlignment="1">
      <alignment horizontal="center"/>
    </xf>
    <xf numFmtId="10" fontId="7" fillId="2" borderId="13" xfId="2" applyNumberFormat="1" applyFont="1" applyFill="1" applyBorder="1"/>
    <xf numFmtId="164" fontId="11" fillId="0" borderId="0" xfId="3" applyNumberFormat="1" applyFont="1"/>
    <xf numFmtId="0" fontId="7" fillId="0" borderId="0" xfId="0" applyFont="1" applyAlignment="1">
      <alignment horizontal="center"/>
    </xf>
    <xf numFmtId="10" fontId="7" fillId="0" borderId="0" xfId="2" applyNumberFormat="1" applyFont="1" applyFill="1" applyBorder="1" applyAlignment="1" applyProtection="1">
      <alignment horizontal="center"/>
    </xf>
    <xf numFmtId="164" fontId="7" fillId="0" borderId="0" xfId="0" applyNumberFormat="1" applyFont="1"/>
    <xf numFmtId="164" fontId="11" fillId="0" borderId="15" xfId="3" applyNumberFormat="1" applyFont="1" applyBorder="1"/>
    <xf numFmtId="164" fontId="16" fillId="0" borderId="16" xfId="3" applyNumberFormat="1" applyFont="1" applyBorder="1"/>
    <xf numFmtId="43" fontId="7" fillId="0" borderId="0" xfId="1" applyFont="1" applyFill="1"/>
    <xf numFmtId="0" fontId="7" fillId="0" borderId="0" xfId="0" applyFont="1" applyAlignment="1">
      <alignment horizontal="left"/>
    </xf>
    <xf numFmtId="43" fontId="7" fillId="0" borderId="0" xfId="1" applyFont="1" applyBorder="1" applyAlignment="1" applyProtection="1">
      <alignment horizontal="right"/>
    </xf>
    <xf numFmtId="43" fontId="7" fillId="0" borderId="0" xfId="1" applyFont="1" applyAlignment="1" applyProtection="1">
      <alignment horizontal="right"/>
    </xf>
    <xf numFmtId="43" fontId="7" fillId="0" borderId="15" xfId="1" applyFont="1" applyBorder="1" applyAlignment="1" applyProtection="1">
      <alignment horizontal="right"/>
    </xf>
    <xf numFmtId="164" fontId="16" fillId="0" borderId="0" xfId="3" applyNumberFormat="1" applyFont="1"/>
    <xf numFmtId="164" fontId="11" fillId="0" borderId="0" xfId="3" applyNumberFormat="1" applyFont="1" applyAlignment="1">
      <alignment horizontal="left"/>
    </xf>
    <xf numFmtId="43" fontId="7" fillId="0" borderId="16" xfId="1" applyFont="1" applyBorder="1" applyAlignment="1" applyProtection="1">
      <alignment horizontal="right"/>
    </xf>
    <xf numFmtId="0" fontId="17" fillId="0" borderId="0" xfId="0" applyFont="1"/>
    <xf numFmtId="165" fontId="18" fillId="0" borderId="0" xfId="0" applyNumberFormat="1" applyFont="1"/>
    <xf numFmtId="0" fontId="19" fillId="0" borderId="0" xfId="0" applyFont="1" applyAlignment="1">
      <alignment horizontal="center"/>
    </xf>
    <xf numFmtId="0" fontId="11" fillId="0" borderId="0" xfId="0" applyFont="1"/>
    <xf numFmtId="0" fontId="20" fillId="0" borderId="0" xfId="0" applyFont="1" applyAlignment="1">
      <alignment horizontal="center"/>
    </xf>
    <xf numFmtId="43" fontId="11" fillId="0" borderId="0" xfId="1" applyFont="1" applyFill="1"/>
    <xf numFmtId="43" fontId="17" fillId="0" borderId="0" xfId="1" applyFont="1" applyFill="1"/>
    <xf numFmtId="43" fontId="17" fillId="0" borderId="0" xfId="1" applyFont="1" applyFill="1" applyBorder="1" applyProtection="1"/>
    <xf numFmtId="43" fontId="17" fillId="0" borderId="0" xfId="1" applyFont="1" applyFill="1" applyBorder="1"/>
    <xf numFmtId="0" fontId="18" fillId="0" borderId="0" xfId="0" applyFont="1"/>
    <xf numFmtId="0" fontId="21" fillId="0" borderId="0" xfId="0" applyFont="1"/>
    <xf numFmtId="44" fontId="7" fillId="0" borderId="0" xfId="1" applyNumberFormat="1" applyFont="1" applyFill="1"/>
    <xf numFmtId="0" fontId="10" fillId="0" borderId="0" xfId="0" applyFont="1" applyAlignment="1">
      <alignment wrapText="1"/>
    </xf>
    <xf numFmtId="0" fontId="4" fillId="0" borderId="5" xfId="0" applyFont="1" applyBorder="1" applyAlignment="1">
      <alignment horizontal="center" vertical="center" wrapText="1"/>
    </xf>
    <xf numFmtId="44" fontId="8" fillId="0" borderId="5" xfId="0" applyNumberFormat="1" applyFont="1" applyBorder="1" applyAlignment="1">
      <alignment horizontal="left" vertical="center" wrapText="1"/>
    </xf>
    <xf numFmtId="44" fontId="8" fillId="0" borderId="6" xfId="0" applyNumberFormat="1" applyFont="1" applyBorder="1" applyAlignment="1">
      <alignment horizontal="left" vertical="center" wrapText="1"/>
    </xf>
    <xf numFmtId="44" fontId="7" fillId="0" borderId="18" xfId="0" applyNumberFormat="1" applyFont="1" applyBorder="1"/>
    <xf numFmtId="0" fontId="4" fillId="0" borderId="0" xfId="0" applyFont="1" applyAlignment="1">
      <alignment horizontal="center" vertical="center" wrapText="1"/>
    </xf>
    <xf numFmtId="44" fontId="8" fillId="0" borderId="0" xfId="0" applyNumberFormat="1" applyFont="1" applyAlignment="1">
      <alignment horizontal="left" vertical="center" wrapText="1"/>
    </xf>
    <xf numFmtId="44" fontId="7" fillId="0" borderId="0" xfId="0" applyNumberFormat="1" applyFont="1"/>
    <xf numFmtId="0" fontId="4" fillId="0" borderId="13" xfId="0" applyFont="1" applyBorder="1" applyAlignment="1">
      <alignment horizontal="center" vertical="center" wrapText="1"/>
    </xf>
    <xf numFmtId="44" fontId="8" fillId="0" borderId="13" xfId="0" applyNumberFormat="1" applyFont="1" applyBorder="1" applyAlignment="1">
      <alignment horizontal="left" vertical="center" wrapText="1"/>
    </xf>
    <xf numFmtId="0" fontId="9" fillId="0" borderId="5" xfId="0" applyFont="1" applyBorder="1" applyAlignment="1">
      <alignment horizontal="center" vertical="center" wrapText="1"/>
    </xf>
    <xf numFmtId="0" fontId="9" fillId="0" borderId="8" xfId="0" applyFont="1" applyBorder="1" applyAlignment="1">
      <alignment horizontal="center" vertical="center" wrapText="1"/>
    </xf>
    <xf numFmtId="0" fontId="9" fillId="0" borderId="13" xfId="0" applyFont="1" applyBorder="1" applyAlignment="1">
      <alignment horizontal="center" vertical="center" wrapText="1"/>
    </xf>
    <xf numFmtId="0" fontId="10" fillId="0" borderId="0" xfId="0" applyFont="1" applyAlignment="1">
      <alignment horizontal="center"/>
    </xf>
    <xf numFmtId="0" fontId="7" fillId="0" borderId="0" xfId="0" applyFont="1"/>
    <xf numFmtId="0" fontId="7" fillId="0" borderId="1" xfId="0" applyFont="1" applyBorder="1"/>
    <xf numFmtId="0" fontId="11" fillId="0" borderId="1" xfId="0" applyFont="1" applyBorder="1"/>
    <xf numFmtId="0" fontId="5" fillId="0" borderId="5" xfId="0" applyFont="1" applyBorder="1" applyAlignment="1">
      <alignment horizontal="center" vertical="center" wrapText="1"/>
    </xf>
    <xf numFmtId="0" fontId="3" fillId="0" borderId="8" xfId="0" applyFont="1" applyBorder="1"/>
    <xf numFmtId="0" fontId="3" fillId="0" borderId="12" xfId="0" applyFont="1" applyBorder="1"/>
    <xf numFmtId="0" fontId="9" fillId="0" borderId="6" xfId="0" applyFont="1" applyBorder="1" applyAlignment="1">
      <alignment horizontal="center" vertical="center" wrapText="1"/>
    </xf>
    <xf numFmtId="0" fontId="3" fillId="0" borderId="17" xfId="0" applyFont="1" applyBorder="1"/>
    <xf numFmtId="0" fontId="3" fillId="0" borderId="4" xfId="0" applyFont="1" applyBorder="1"/>
    <xf numFmtId="0" fontId="3" fillId="0" borderId="0" xfId="0" applyFont="1"/>
    <xf numFmtId="0" fontId="3" fillId="0" borderId="10" xfId="0" applyFont="1" applyBorder="1"/>
    <xf numFmtId="0" fontId="3" fillId="0" borderId="1" xfId="0" applyFont="1" applyBorder="1"/>
    <xf numFmtId="0" fontId="9" fillId="0" borderId="7" xfId="0" applyFont="1" applyBorder="1" applyAlignment="1">
      <alignment horizontal="center" vertical="center" wrapText="1"/>
    </xf>
    <xf numFmtId="0" fontId="3" fillId="0" borderId="9" xfId="0" applyFont="1" applyBorder="1"/>
    <xf numFmtId="0" fontId="3" fillId="0" borderId="11" xfId="0" applyFont="1" applyBorder="1"/>
    <xf numFmtId="0" fontId="7" fillId="0" borderId="0" xfId="0" applyFont="1" applyAlignment="1">
      <alignment horizontal="left"/>
    </xf>
  </cellXfs>
  <cellStyles count="4">
    <cellStyle name="Comma" xfId="1" builtinId="3"/>
    <cellStyle name="Normal" xfId="0" builtinId="0"/>
    <cellStyle name="Normal 2" xfId="3" xr:uid="{4A3DCB2C-576F-44F8-8895-F71D3F1B0C6C}"/>
    <cellStyle name="Percent" xfId="2" builtinId="5"/>
  </cellStyles>
  <dxfs count="0"/>
  <tableStyles count="0" defaultTableStyle="TableStyleMedium2" defaultPivotStyle="PivotStyleLight16"/>
  <colors>
    <mruColors>
      <color rgb="FFA29E00"/>
      <color rgb="FFC4BF00"/>
      <color rgb="FFD7D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40"/>
  <sheetViews>
    <sheetView tabSelected="1" zoomScale="63" zoomScaleNormal="87" workbookViewId="0">
      <selection sqref="A1:F1"/>
    </sheetView>
  </sheetViews>
  <sheetFormatPr defaultColWidth="14.453125" defaultRowHeight="15" customHeight="1" x14ac:dyDescent="0.35"/>
  <cols>
    <col min="1" max="1" width="26.26953125" customWidth="1"/>
    <col min="2" max="2" width="20.7265625" customWidth="1"/>
    <col min="3" max="3" width="27.36328125" customWidth="1"/>
    <col min="4" max="4" width="20.81640625" customWidth="1"/>
    <col min="5" max="5" width="17.36328125" customWidth="1"/>
    <col min="6" max="6" width="22.36328125" customWidth="1"/>
    <col min="7" max="7" width="18" style="6" customWidth="1"/>
    <col min="8" max="9" width="8.7265625" customWidth="1"/>
    <col min="10" max="10" width="45.6328125" customWidth="1"/>
    <col min="11" max="11" width="16.453125" customWidth="1"/>
    <col min="12" max="12" width="2.81640625" customWidth="1"/>
    <col min="13" max="13" width="8.7265625" customWidth="1"/>
    <col min="14" max="14" width="24.54296875" customWidth="1"/>
    <col min="15" max="15" width="17.453125" customWidth="1"/>
    <col min="16" max="25" width="8.7265625" customWidth="1"/>
  </cols>
  <sheetData>
    <row r="1" spans="1:25" ht="21" x14ac:dyDescent="0.5">
      <c r="A1" s="80" t="s">
        <v>76</v>
      </c>
      <c r="B1" s="81"/>
      <c r="C1" s="81"/>
      <c r="D1" s="81"/>
      <c r="E1" s="81"/>
      <c r="F1" s="81"/>
      <c r="G1" s="18"/>
      <c r="H1" s="1"/>
      <c r="I1" s="1"/>
      <c r="J1" s="65" t="s">
        <v>74</v>
      </c>
      <c r="P1" s="12"/>
      <c r="Q1" s="1"/>
      <c r="R1" s="1"/>
      <c r="S1" s="1"/>
      <c r="T1" s="1"/>
      <c r="U1" s="1"/>
      <c r="V1" s="1"/>
      <c r="W1" s="1"/>
      <c r="X1" s="1"/>
      <c r="Y1" s="1"/>
    </row>
    <row r="2" spans="1:25" ht="15" customHeight="1" x14ac:dyDescent="0.35">
      <c r="A2" s="6"/>
      <c r="B2" s="6"/>
      <c r="C2" s="6"/>
      <c r="D2" s="6"/>
      <c r="E2" s="6"/>
      <c r="F2" s="6"/>
      <c r="J2" s="25" t="s">
        <v>11</v>
      </c>
      <c r="K2" s="26"/>
      <c r="L2" s="26"/>
      <c r="M2" s="26"/>
      <c r="N2" s="26"/>
      <c r="O2" s="26"/>
      <c r="P2" s="11"/>
    </row>
    <row r="3" spans="1:25" ht="14.5" x14ac:dyDescent="0.35">
      <c r="A3" s="18" t="s">
        <v>0</v>
      </c>
      <c r="B3" s="82"/>
      <c r="C3" s="83"/>
      <c r="D3" s="83"/>
      <c r="E3" s="83"/>
      <c r="F3" s="6"/>
      <c r="J3" s="26" t="s">
        <v>12</v>
      </c>
      <c r="K3" s="27">
        <v>10</v>
      </c>
      <c r="L3" s="26"/>
      <c r="M3" s="26" t="s">
        <v>13</v>
      </c>
      <c r="N3" s="26"/>
      <c r="O3" s="28">
        <f>B8-(K3*D7)</f>
        <v>16250</v>
      </c>
      <c r="P3" s="11"/>
    </row>
    <row r="4" spans="1:25" ht="15" customHeight="1" x14ac:dyDescent="0.35">
      <c r="A4" s="6"/>
      <c r="B4" s="6"/>
      <c r="C4" s="6"/>
      <c r="D4" s="6"/>
      <c r="E4" s="6"/>
      <c r="F4" s="6"/>
      <c r="J4" s="26" t="s">
        <v>14</v>
      </c>
      <c r="K4" s="26"/>
      <c r="L4" s="26"/>
      <c r="M4" s="26" t="s">
        <v>15</v>
      </c>
      <c r="N4" s="26"/>
      <c r="O4" s="26"/>
      <c r="P4" s="11"/>
    </row>
    <row r="5" spans="1:25" ht="42.5" x14ac:dyDescent="0.35">
      <c r="A5" s="67" t="s">
        <v>77</v>
      </c>
      <c r="B5" s="82"/>
      <c r="C5" s="83"/>
      <c r="D5" s="83"/>
      <c r="E5" s="83"/>
      <c r="F5" s="6"/>
      <c r="J5" s="26" t="s">
        <v>16</v>
      </c>
      <c r="K5" s="29">
        <f>IF(K3=H70,"0",SUM(D9-K3))</f>
        <v>50</v>
      </c>
      <c r="L5" s="26"/>
      <c r="M5" s="26"/>
      <c r="N5" s="26"/>
      <c r="O5" s="26"/>
      <c r="P5" s="11"/>
    </row>
    <row r="6" spans="1:25" ht="15" customHeight="1" x14ac:dyDescent="0.35">
      <c r="A6" s="6"/>
      <c r="B6" s="6"/>
      <c r="C6" s="6"/>
      <c r="D6" s="6"/>
      <c r="E6" s="6"/>
      <c r="F6" s="6"/>
      <c r="J6" s="26" t="s">
        <v>17</v>
      </c>
      <c r="K6" s="28">
        <f>K5/D9*G16</f>
        <v>3750</v>
      </c>
      <c r="L6" s="26"/>
      <c r="M6" s="26"/>
      <c r="N6" s="26"/>
      <c r="O6" s="26"/>
      <c r="P6" s="11"/>
    </row>
    <row r="7" spans="1:25" ht="54" customHeight="1" x14ac:dyDescent="0.35">
      <c r="A7" s="2" t="s">
        <v>1</v>
      </c>
      <c r="B7" s="22">
        <v>15000</v>
      </c>
      <c r="C7" s="9" t="s">
        <v>6</v>
      </c>
      <c r="D7" s="10">
        <f>B8/D9</f>
        <v>325</v>
      </c>
      <c r="H7" s="3"/>
      <c r="I7" s="3"/>
      <c r="J7" s="25" t="s">
        <v>18</v>
      </c>
      <c r="K7" s="26">
        <f>K3</f>
        <v>10</v>
      </c>
      <c r="L7" s="26"/>
      <c r="M7" s="26"/>
      <c r="N7" s="26"/>
      <c r="O7" s="26"/>
      <c r="P7" s="13"/>
      <c r="Q7" s="3"/>
      <c r="R7" s="3"/>
      <c r="S7" s="3"/>
      <c r="T7" s="3"/>
      <c r="U7" s="3"/>
      <c r="V7" s="3"/>
      <c r="W7" s="3"/>
      <c r="X7" s="3"/>
      <c r="Y7" s="3"/>
    </row>
    <row r="8" spans="1:25" ht="27" customHeight="1" x14ac:dyDescent="0.35">
      <c r="A8" s="2" t="s">
        <v>2</v>
      </c>
      <c r="B8" s="7">
        <f>B7+B9</f>
        <v>19500</v>
      </c>
      <c r="C8" s="8" t="s">
        <v>10</v>
      </c>
      <c r="D8" s="24">
        <v>0.06</v>
      </c>
      <c r="E8" s="9" t="s">
        <v>78</v>
      </c>
      <c r="F8" s="10">
        <f>B7/D9</f>
        <v>250</v>
      </c>
      <c r="H8" s="3"/>
      <c r="I8" s="3"/>
      <c r="J8" s="30" t="s">
        <v>19</v>
      </c>
      <c r="K8" s="26"/>
      <c r="L8" s="26"/>
      <c r="M8" s="26"/>
      <c r="N8" s="26"/>
      <c r="O8" s="26"/>
      <c r="P8" s="13"/>
      <c r="Q8" s="3"/>
      <c r="R8" s="3"/>
      <c r="S8" s="3"/>
      <c r="T8" s="3"/>
      <c r="U8" s="3"/>
      <c r="V8" s="3"/>
      <c r="W8" s="3"/>
      <c r="X8" s="3"/>
      <c r="Y8" s="3"/>
    </row>
    <row r="9" spans="1:25" ht="40.5" x14ac:dyDescent="0.35">
      <c r="A9" s="2" t="s">
        <v>3</v>
      </c>
      <c r="B9" s="7">
        <f>B7*D8*D9/12</f>
        <v>4500</v>
      </c>
      <c r="C9" s="8" t="s">
        <v>9</v>
      </c>
      <c r="D9" s="23">
        <v>60</v>
      </c>
      <c r="E9" s="9" t="s">
        <v>7</v>
      </c>
      <c r="F9" s="10">
        <f>B9/D9</f>
        <v>75</v>
      </c>
      <c r="H9" s="3"/>
      <c r="I9" s="3"/>
      <c r="J9" s="26"/>
      <c r="K9" s="26"/>
      <c r="L9" s="26"/>
      <c r="M9" s="26"/>
      <c r="N9" s="26"/>
      <c r="O9" s="26"/>
      <c r="P9" s="13"/>
      <c r="Q9" s="3"/>
      <c r="R9" s="3"/>
      <c r="S9" s="3"/>
      <c r="T9" s="3"/>
      <c r="U9" s="3"/>
      <c r="V9" s="3"/>
      <c r="W9" s="3"/>
      <c r="X9" s="3"/>
      <c r="Y9" s="3"/>
    </row>
    <row r="10" spans="1:25" ht="14.5" x14ac:dyDescent="0.35">
      <c r="A10" s="3"/>
      <c r="B10" s="3"/>
      <c r="C10" s="3"/>
      <c r="D10" s="3"/>
      <c r="E10" s="3"/>
      <c r="F10" s="3"/>
      <c r="H10" s="3"/>
      <c r="I10" s="3"/>
      <c r="J10" s="31" t="s">
        <v>20</v>
      </c>
      <c r="K10" s="31"/>
      <c r="L10" s="31"/>
      <c r="M10" s="31"/>
      <c r="N10" s="32">
        <f>O3</f>
        <v>16250</v>
      </c>
      <c r="O10" s="26"/>
      <c r="P10" s="13"/>
      <c r="Q10" s="3"/>
      <c r="R10" s="3"/>
      <c r="S10" s="3"/>
      <c r="T10" s="3"/>
      <c r="U10" s="3"/>
      <c r="V10" s="3"/>
      <c r="W10" s="3"/>
      <c r="X10" s="3"/>
      <c r="Y10" s="3"/>
    </row>
    <row r="11" spans="1:25" ht="14.5" customHeight="1" x14ac:dyDescent="0.35">
      <c r="A11" s="84" t="s">
        <v>4</v>
      </c>
      <c r="B11" s="77" t="s">
        <v>24</v>
      </c>
      <c r="C11" s="87" t="s">
        <v>25</v>
      </c>
      <c r="D11" s="88"/>
      <c r="E11" s="79" t="s">
        <v>30</v>
      </c>
      <c r="F11" s="93" t="s">
        <v>29</v>
      </c>
      <c r="G11" s="77" t="s">
        <v>28</v>
      </c>
      <c r="H11" s="3"/>
      <c r="I11" s="3"/>
      <c r="J11" s="26" t="s">
        <v>21</v>
      </c>
      <c r="K11" s="26"/>
      <c r="L11" s="26"/>
      <c r="M11" s="26"/>
      <c r="N11" s="33">
        <f>K6</f>
        <v>3750</v>
      </c>
      <c r="O11" s="26"/>
      <c r="P11" s="13"/>
      <c r="Q11" s="3"/>
      <c r="R11" s="3"/>
      <c r="S11" s="3"/>
      <c r="T11" s="3"/>
      <c r="U11" s="3"/>
      <c r="V11" s="3"/>
      <c r="W11" s="3"/>
      <c r="X11" s="3"/>
      <c r="Y11" s="3"/>
    </row>
    <row r="12" spans="1:25" ht="14.5" x14ac:dyDescent="0.35">
      <c r="A12" s="85"/>
      <c r="B12" s="85"/>
      <c r="C12" s="89"/>
      <c r="D12" s="90"/>
      <c r="E12" s="79"/>
      <c r="F12" s="94"/>
      <c r="G12" s="78"/>
      <c r="H12" s="4"/>
      <c r="I12" s="3"/>
      <c r="J12" s="34" t="s">
        <v>22</v>
      </c>
      <c r="K12" s="34"/>
      <c r="L12" s="34"/>
      <c r="M12" s="34"/>
      <c r="N12" s="35">
        <f>D7</f>
        <v>325</v>
      </c>
      <c r="O12" s="26"/>
      <c r="P12" s="13"/>
      <c r="Q12" s="3"/>
      <c r="R12" s="3"/>
      <c r="S12" s="3"/>
      <c r="T12" s="3"/>
      <c r="U12" s="3"/>
      <c r="V12" s="3"/>
      <c r="W12" s="3"/>
      <c r="X12" s="3"/>
      <c r="Y12" s="3"/>
    </row>
    <row r="13" spans="1:25" thickBot="1" x14ac:dyDescent="0.4">
      <c r="A13" s="85"/>
      <c r="B13" s="85"/>
      <c r="C13" s="91"/>
      <c r="D13" s="92"/>
      <c r="E13" s="79"/>
      <c r="F13" s="94"/>
      <c r="G13" s="78"/>
      <c r="H13" s="3"/>
      <c r="I13" s="3"/>
      <c r="J13" s="36" t="s">
        <v>23</v>
      </c>
      <c r="K13" s="36"/>
      <c r="L13" s="36"/>
      <c r="M13" s="36"/>
      <c r="N13" s="37">
        <f>SUM(N10-N11+N12)</f>
        <v>12825</v>
      </c>
      <c r="O13" s="26"/>
      <c r="P13" s="3"/>
      <c r="Q13" s="3"/>
      <c r="R13" s="3"/>
      <c r="S13" s="3"/>
      <c r="T13" s="3"/>
      <c r="U13" s="3"/>
      <c r="V13" s="3"/>
      <c r="W13" s="3"/>
      <c r="X13" s="3"/>
      <c r="Y13" s="3"/>
    </row>
    <row r="14" spans="1:25" thickTop="1" x14ac:dyDescent="0.35">
      <c r="A14" s="85"/>
      <c r="B14" s="85"/>
      <c r="C14" s="14" t="s">
        <v>26</v>
      </c>
      <c r="D14" s="19" t="s">
        <v>27</v>
      </c>
      <c r="E14" s="79"/>
      <c r="F14" s="94"/>
      <c r="G14" s="78"/>
      <c r="H14" s="3"/>
      <c r="I14" s="3"/>
      <c r="J14" s="3"/>
      <c r="K14" s="3"/>
      <c r="L14" s="3"/>
      <c r="M14" s="3"/>
      <c r="N14" s="3"/>
      <c r="O14" s="3"/>
      <c r="P14" s="3"/>
      <c r="Q14" s="3"/>
      <c r="R14" s="3"/>
      <c r="S14" s="3"/>
      <c r="T14" s="3"/>
      <c r="U14" s="3"/>
      <c r="V14" s="3"/>
      <c r="W14" s="3"/>
      <c r="X14" s="3"/>
      <c r="Y14" s="3"/>
    </row>
    <row r="15" spans="1:25" ht="14.5" x14ac:dyDescent="0.35">
      <c r="A15" s="86"/>
      <c r="B15" s="86"/>
      <c r="C15" s="5" t="s">
        <v>5</v>
      </c>
      <c r="D15" s="20" t="s">
        <v>5</v>
      </c>
      <c r="E15" s="79"/>
      <c r="F15" s="95"/>
      <c r="G15" s="78"/>
      <c r="H15" s="3"/>
      <c r="I15" s="3"/>
      <c r="J15" s="3"/>
      <c r="K15" s="3"/>
      <c r="L15" s="3"/>
      <c r="M15" s="3"/>
      <c r="N15" s="3"/>
      <c r="O15" s="3"/>
      <c r="P15" s="3"/>
      <c r="Q15" s="3"/>
      <c r="R15" s="3"/>
      <c r="S15" s="3"/>
      <c r="T15" s="3"/>
      <c r="U15" s="3"/>
      <c r="V15" s="3"/>
      <c r="W15" s="3"/>
      <c r="X15" s="3"/>
      <c r="Y15" s="3"/>
    </row>
    <row r="16" spans="1:25" ht="14.5" x14ac:dyDescent="0.35">
      <c r="A16" s="2">
        <v>0</v>
      </c>
      <c r="B16" s="15"/>
      <c r="C16" s="15"/>
      <c r="D16" s="15"/>
      <c r="E16" s="21">
        <f>B8</f>
        <v>19500</v>
      </c>
      <c r="F16" s="16">
        <f>B7</f>
        <v>15000</v>
      </c>
      <c r="G16" s="10">
        <f>B9</f>
        <v>4500</v>
      </c>
      <c r="H16" s="3"/>
      <c r="I16" s="3"/>
      <c r="J16" s="3"/>
      <c r="K16" s="3"/>
      <c r="L16" s="3"/>
      <c r="M16" s="3"/>
      <c r="N16" s="3"/>
      <c r="O16" s="3"/>
      <c r="P16" s="3"/>
      <c r="Q16" s="3"/>
      <c r="R16" s="3"/>
      <c r="S16" s="3"/>
      <c r="T16" s="3"/>
      <c r="U16" s="3"/>
      <c r="V16" s="3"/>
      <c r="W16" s="3"/>
      <c r="X16" s="3"/>
      <c r="Y16" s="3"/>
    </row>
    <row r="17" spans="1:25" ht="14.5" x14ac:dyDescent="0.35">
      <c r="A17" s="2">
        <v>1</v>
      </c>
      <c r="B17" s="17">
        <f t="shared" ref="B17:B48" si="0">$D$7</f>
        <v>325</v>
      </c>
      <c r="C17" s="17">
        <f>$F$8</f>
        <v>250</v>
      </c>
      <c r="D17" s="17">
        <f>$F$9</f>
        <v>75</v>
      </c>
      <c r="E17" s="17">
        <f>E16-B17</f>
        <v>19175</v>
      </c>
      <c r="F17" s="16">
        <f>F16-C17</f>
        <v>14750</v>
      </c>
      <c r="G17" s="10">
        <f>G16-D17</f>
        <v>4425</v>
      </c>
      <c r="H17" s="3"/>
      <c r="I17" s="3"/>
      <c r="J17" s="3"/>
      <c r="K17" s="3"/>
      <c r="L17" s="3"/>
      <c r="M17" s="3"/>
      <c r="N17" s="3"/>
      <c r="O17" s="3"/>
      <c r="P17" s="3"/>
      <c r="Q17" s="3"/>
      <c r="R17" s="3"/>
      <c r="S17" s="3"/>
      <c r="T17" s="3"/>
      <c r="U17" s="3"/>
      <c r="V17" s="3"/>
      <c r="W17" s="3"/>
      <c r="X17" s="3"/>
      <c r="Y17" s="3"/>
    </row>
    <row r="18" spans="1:25" ht="14.5" x14ac:dyDescent="0.35">
      <c r="A18" s="2">
        <v>2</v>
      </c>
      <c r="B18" s="17">
        <f t="shared" si="0"/>
        <v>325</v>
      </c>
      <c r="C18" s="17">
        <f t="shared" ref="C18:C76" si="1">$F$8</f>
        <v>250</v>
      </c>
      <c r="D18" s="17">
        <f t="shared" ref="D18:D76" si="2">$F$9</f>
        <v>75</v>
      </c>
      <c r="E18" s="17">
        <f t="shared" ref="E18:E76" si="3">E17-B18</f>
        <v>18850</v>
      </c>
      <c r="F18" s="16">
        <f t="shared" ref="F18:F76" si="4">F17-C18</f>
        <v>14500</v>
      </c>
      <c r="G18" s="10">
        <f t="shared" ref="G18:G76" si="5">G17-D18</f>
        <v>4350</v>
      </c>
      <c r="H18" s="3"/>
      <c r="I18" s="3"/>
      <c r="J18" s="3"/>
      <c r="K18" s="3"/>
      <c r="L18" s="3"/>
      <c r="M18" s="3"/>
      <c r="N18" s="3"/>
      <c r="O18" s="3"/>
      <c r="P18" s="3"/>
      <c r="Q18" s="3"/>
      <c r="R18" s="3"/>
      <c r="S18" s="3"/>
      <c r="T18" s="3"/>
      <c r="U18" s="3"/>
      <c r="V18" s="3"/>
      <c r="W18" s="3"/>
      <c r="X18" s="3"/>
      <c r="Y18" s="3"/>
    </row>
    <row r="19" spans="1:25" ht="14.5" x14ac:dyDescent="0.35">
      <c r="A19" s="2">
        <v>3</v>
      </c>
      <c r="B19" s="17">
        <f t="shared" si="0"/>
        <v>325</v>
      </c>
      <c r="C19" s="17">
        <f t="shared" si="1"/>
        <v>250</v>
      </c>
      <c r="D19" s="17">
        <f t="shared" si="2"/>
        <v>75</v>
      </c>
      <c r="E19" s="17">
        <f t="shared" si="3"/>
        <v>18525</v>
      </c>
      <c r="F19" s="16">
        <f t="shared" si="4"/>
        <v>14250</v>
      </c>
      <c r="G19" s="10">
        <f t="shared" si="5"/>
        <v>4275</v>
      </c>
      <c r="H19" s="3"/>
      <c r="I19" s="3"/>
      <c r="J19" s="3"/>
      <c r="K19" s="3"/>
      <c r="L19" s="3"/>
      <c r="M19" s="3"/>
      <c r="N19" s="3"/>
      <c r="O19" s="3"/>
      <c r="P19" s="3"/>
      <c r="Q19" s="3"/>
      <c r="R19" s="3"/>
      <c r="S19" s="3"/>
      <c r="T19" s="3"/>
      <c r="U19" s="3"/>
      <c r="V19" s="3"/>
      <c r="W19" s="3"/>
      <c r="X19" s="3"/>
      <c r="Y19" s="3"/>
    </row>
    <row r="20" spans="1:25" ht="14.5" x14ac:dyDescent="0.35">
      <c r="A20" s="2">
        <v>4</v>
      </c>
      <c r="B20" s="17">
        <f t="shared" si="0"/>
        <v>325</v>
      </c>
      <c r="C20" s="17">
        <f t="shared" si="1"/>
        <v>250</v>
      </c>
      <c r="D20" s="17">
        <f t="shared" si="2"/>
        <v>75</v>
      </c>
      <c r="E20" s="17">
        <f t="shared" si="3"/>
        <v>18200</v>
      </c>
      <c r="F20" s="16">
        <f t="shared" si="4"/>
        <v>14000</v>
      </c>
      <c r="G20" s="10">
        <f t="shared" si="5"/>
        <v>4200</v>
      </c>
      <c r="H20" s="3"/>
      <c r="I20" s="3"/>
      <c r="J20" s="3"/>
      <c r="K20" s="3"/>
      <c r="L20" s="3"/>
      <c r="M20" s="3"/>
      <c r="N20" s="3"/>
      <c r="O20" s="3"/>
      <c r="P20" s="3"/>
      <c r="Q20" s="3"/>
      <c r="R20" s="3"/>
      <c r="S20" s="3"/>
      <c r="T20" s="3"/>
      <c r="U20" s="3"/>
      <c r="V20" s="3"/>
      <c r="W20" s="3"/>
      <c r="X20" s="3"/>
      <c r="Y20" s="3"/>
    </row>
    <row r="21" spans="1:25" ht="15.75" customHeight="1" x14ac:dyDescent="0.35">
      <c r="A21" s="2">
        <v>5</v>
      </c>
      <c r="B21" s="17">
        <f t="shared" si="0"/>
        <v>325</v>
      </c>
      <c r="C21" s="17">
        <f t="shared" si="1"/>
        <v>250</v>
      </c>
      <c r="D21" s="17">
        <f t="shared" si="2"/>
        <v>75</v>
      </c>
      <c r="E21" s="17">
        <f t="shared" si="3"/>
        <v>17875</v>
      </c>
      <c r="F21" s="16">
        <f t="shared" si="4"/>
        <v>13750</v>
      </c>
      <c r="G21" s="10">
        <f t="shared" si="5"/>
        <v>4125</v>
      </c>
      <c r="H21" s="3"/>
      <c r="I21" s="3"/>
      <c r="J21" s="3"/>
      <c r="K21" s="3"/>
      <c r="L21" s="3"/>
      <c r="M21" s="3"/>
      <c r="N21" s="3"/>
      <c r="O21" s="3"/>
      <c r="P21" s="3"/>
      <c r="Q21" s="3"/>
      <c r="R21" s="3"/>
      <c r="S21" s="3"/>
      <c r="T21" s="3"/>
      <c r="U21" s="3"/>
      <c r="V21" s="3"/>
      <c r="W21" s="3"/>
      <c r="X21" s="3"/>
      <c r="Y21" s="3"/>
    </row>
    <row r="22" spans="1:25" ht="15.75" customHeight="1" x14ac:dyDescent="0.35">
      <c r="A22" s="2">
        <v>6</v>
      </c>
      <c r="B22" s="17">
        <f t="shared" si="0"/>
        <v>325</v>
      </c>
      <c r="C22" s="17">
        <f t="shared" si="1"/>
        <v>250</v>
      </c>
      <c r="D22" s="17">
        <f t="shared" si="2"/>
        <v>75</v>
      </c>
      <c r="E22" s="17">
        <f t="shared" si="3"/>
        <v>17550</v>
      </c>
      <c r="F22" s="16">
        <f t="shared" si="4"/>
        <v>13500</v>
      </c>
      <c r="G22" s="10">
        <f t="shared" si="5"/>
        <v>4050</v>
      </c>
      <c r="H22" s="3"/>
      <c r="I22" s="3"/>
      <c r="J22" s="3"/>
      <c r="K22" s="3"/>
      <c r="L22" s="3"/>
      <c r="M22" s="3"/>
      <c r="N22" s="3"/>
      <c r="O22" s="3"/>
      <c r="P22" s="3"/>
      <c r="Q22" s="3"/>
      <c r="R22" s="3"/>
      <c r="S22" s="3"/>
      <c r="T22" s="3"/>
      <c r="U22" s="3"/>
      <c r="V22" s="3"/>
      <c r="W22" s="3"/>
      <c r="X22" s="3"/>
      <c r="Y22" s="3"/>
    </row>
    <row r="23" spans="1:25" ht="15.75" customHeight="1" x14ac:dyDescent="0.35">
      <c r="A23" s="2">
        <v>7</v>
      </c>
      <c r="B23" s="17">
        <f t="shared" si="0"/>
        <v>325</v>
      </c>
      <c r="C23" s="17">
        <f t="shared" si="1"/>
        <v>250</v>
      </c>
      <c r="D23" s="17">
        <f t="shared" si="2"/>
        <v>75</v>
      </c>
      <c r="E23" s="17">
        <f t="shared" si="3"/>
        <v>17225</v>
      </c>
      <c r="F23" s="16">
        <f t="shared" si="4"/>
        <v>13250</v>
      </c>
      <c r="G23" s="10">
        <f t="shared" si="5"/>
        <v>3975</v>
      </c>
      <c r="H23" s="3"/>
      <c r="I23" s="3"/>
      <c r="J23" s="3"/>
      <c r="K23" s="3"/>
      <c r="L23" s="3"/>
      <c r="M23" s="3"/>
      <c r="N23" s="3"/>
      <c r="O23" s="3"/>
      <c r="P23" s="3"/>
      <c r="Q23" s="3"/>
      <c r="R23" s="3"/>
      <c r="S23" s="3"/>
      <c r="T23" s="3"/>
      <c r="U23" s="3"/>
      <c r="V23" s="3"/>
      <c r="W23" s="3"/>
      <c r="X23" s="3"/>
      <c r="Y23" s="3"/>
    </row>
    <row r="24" spans="1:25" ht="15.75" customHeight="1" x14ac:dyDescent="0.35">
      <c r="A24" s="2">
        <v>8</v>
      </c>
      <c r="B24" s="17">
        <f t="shared" si="0"/>
        <v>325</v>
      </c>
      <c r="C24" s="17">
        <f t="shared" si="1"/>
        <v>250</v>
      </c>
      <c r="D24" s="17">
        <f t="shared" si="2"/>
        <v>75</v>
      </c>
      <c r="E24" s="17">
        <f t="shared" si="3"/>
        <v>16900</v>
      </c>
      <c r="F24" s="16">
        <f t="shared" si="4"/>
        <v>13000</v>
      </c>
      <c r="G24" s="10">
        <f t="shared" si="5"/>
        <v>3900</v>
      </c>
      <c r="H24" s="3"/>
      <c r="I24" s="3"/>
      <c r="J24" s="3"/>
      <c r="K24" s="3"/>
      <c r="L24" s="3"/>
      <c r="M24" s="3"/>
      <c r="N24" s="3"/>
      <c r="O24" s="3"/>
      <c r="P24" s="3"/>
      <c r="Q24" s="3"/>
      <c r="R24" s="3"/>
      <c r="S24" s="3"/>
      <c r="T24" s="3"/>
      <c r="U24" s="3"/>
      <c r="V24" s="3"/>
      <c r="W24" s="3"/>
      <c r="X24" s="3"/>
      <c r="Y24" s="3"/>
    </row>
    <row r="25" spans="1:25" ht="15.75" customHeight="1" x14ac:dyDescent="0.35">
      <c r="A25" s="2">
        <v>9</v>
      </c>
      <c r="B25" s="17">
        <f t="shared" si="0"/>
        <v>325</v>
      </c>
      <c r="C25" s="17">
        <f t="shared" si="1"/>
        <v>250</v>
      </c>
      <c r="D25" s="17">
        <f t="shared" si="2"/>
        <v>75</v>
      </c>
      <c r="E25" s="17">
        <f t="shared" si="3"/>
        <v>16575</v>
      </c>
      <c r="F25" s="16">
        <f t="shared" si="4"/>
        <v>12750</v>
      </c>
      <c r="G25" s="10">
        <f t="shared" si="5"/>
        <v>3825</v>
      </c>
      <c r="H25" s="3"/>
      <c r="I25" s="3"/>
      <c r="J25" s="3"/>
      <c r="K25" s="3"/>
      <c r="L25" s="3"/>
      <c r="M25" s="3"/>
      <c r="N25" s="3"/>
      <c r="O25" s="3"/>
      <c r="P25" s="3"/>
      <c r="Q25" s="3"/>
      <c r="R25" s="3"/>
      <c r="S25" s="3"/>
      <c r="T25" s="3"/>
      <c r="U25" s="3"/>
      <c r="V25" s="3"/>
      <c r="W25" s="3"/>
      <c r="X25" s="3"/>
      <c r="Y25" s="3"/>
    </row>
    <row r="26" spans="1:25" ht="15.75" customHeight="1" x14ac:dyDescent="0.35">
      <c r="A26" s="2">
        <v>10</v>
      </c>
      <c r="B26" s="17">
        <f t="shared" si="0"/>
        <v>325</v>
      </c>
      <c r="C26" s="17">
        <f t="shared" si="1"/>
        <v>250</v>
      </c>
      <c r="D26" s="17">
        <f t="shared" si="2"/>
        <v>75</v>
      </c>
      <c r="E26" s="17">
        <f t="shared" si="3"/>
        <v>16250</v>
      </c>
      <c r="F26" s="16">
        <f t="shared" si="4"/>
        <v>12500</v>
      </c>
      <c r="G26" s="10">
        <f t="shared" si="5"/>
        <v>3750</v>
      </c>
      <c r="H26" s="3"/>
      <c r="I26" s="3"/>
      <c r="J26" s="3"/>
      <c r="K26" s="3"/>
      <c r="L26" s="3"/>
      <c r="M26" s="3"/>
      <c r="N26" s="3"/>
      <c r="O26" s="3"/>
      <c r="P26" s="3"/>
      <c r="Q26" s="3"/>
      <c r="R26" s="3"/>
      <c r="S26" s="3"/>
      <c r="T26" s="3"/>
      <c r="U26" s="3"/>
      <c r="V26" s="3"/>
      <c r="W26" s="3"/>
      <c r="X26" s="3"/>
      <c r="Y26" s="3"/>
    </row>
    <row r="27" spans="1:25" ht="15.75" customHeight="1" x14ac:dyDescent="0.35">
      <c r="A27" s="2">
        <v>11</v>
      </c>
      <c r="B27" s="17">
        <f t="shared" si="0"/>
        <v>325</v>
      </c>
      <c r="C27" s="17">
        <f t="shared" si="1"/>
        <v>250</v>
      </c>
      <c r="D27" s="17">
        <f t="shared" si="2"/>
        <v>75</v>
      </c>
      <c r="E27" s="17">
        <f t="shared" si="3"/>
        <v>15925</v>
      </c>
      <c r="F27" s="16">
        <f t="shared" si="4"/>
        <v>12250</v>
      </c>
      <c r="G27" s="10">
        <f t="shared" si="5"/>
        <v>3675</v>
      </c>
      <c r="H27" s="3"/>
      <c r="I27" s="3"/>
      <c r="J27" s="3"/>
      <c r="K27" s="3"/>
      <c r="L27" s="3"/>
      <c r="M27" s="3"/>
      <c r="N27" s="3"/>
      <c r="O27" s="3"/>
      <c r="P27" s="3"/>
      <c r="Q27" s="3"/>
      <c r="R27" s="3"/>
      <c r="S27" s="3"/>
      <c r="T27" s="3"/>
      <c r="U27" s="3"/>
      <c r="V27" s="3"/>
      <c r="W27" s="3"/>
      <c r="X27" s="3"/>
      <c r="Y27" s="3"/>
    </row>
    <row r="28" spans="1:25" ht="15.75" customHeight="1" x14ac:dyDescent="0.35">
      <c r="A28" s="2">
        <v>12</v>
      </c>
      <c r="B28" s="17">
        <f t="shared" si="0"/>
        <v>325</v>
      </c>
      <c r="C28" s="17">
        <f t="shared" si="1"/>
        <v>250</v>
      </c>
      <c r="D28" s="17">
        <f t="shared" si="2"/>
        <v>75</v>
      </c>
      <c r="E28" s="17">
        <f t="shared" si="3"/>
        <v>15600</v>
      </c>
      <c r="F28" s="16">
        <f t="shared" si="4"/>
        <v>12000</v>
      </c>
      <c r="G28" s="10">
        <f t="shared" si="5"/>
        <v>3600</v>
      </c>
      <c r="H28" s="3"/>
      <c r="I28" s="3"/>
      <c r="J28" s="3"/>
      <c r="K28" s="3"/>
      <c r="L28" s="3"/>
      <c r="M28" s="3"/>
      <c r="N28" s="3"/>
      <c r="O28" s="3"/>
      <c r="P28" s="3"/>
      <c r="Q28" s="3"/>
      <c r="R28" s="3"/>
      <c r="S28" s="3"/>
      <c r="T28" s="3"/>
      <c r="U28" s="3"/>
      <c r="V28" s="3"/>
      <c r="W28" s="3"/>
      <c r="X28" s="3"/>
      <c r="Y28" s="3"/>
    </row>
    <row r="29" spans="1:25" ht="15.75" customHeight="1" x14ac:dyDescent="0.35">
      <c r="A29" s="2">
        <v>13</v>
      </c>
      <c r="B29" s="17">
        <f t="shared" si="0"/>
        <v>325</v>
      </c>
      <c r="C29" s="17">
        <f t="shared" si="1"/>
        <v>250</v>
      </c>
      <c r="D29" s="17">
        <f t="shared" si="2"/>
        <v>75</v>
      </c>
      <c r="E29" s="17">
        <f t="shared" si="3"/>
        <v>15275</v>
      </c>
      <c r="F29" s="16">
        <f t="shared" si="4"/>
        <v>11750</v>
      </c>
      <c r="G29" s="10">
        <f t="shared" si="5"/>
        <v>3525</v>
      </c>
      <c r="H29" s="3"/>
      <c r="I29" s="3"/>
      <c r="J29" s="3"/>
      <c r="K29" s="3"/>
      <c r="L29" s="3"/>
      <c r="M29" s="3"/>
      <c r="N29" s="3"/>
      <c r="O29" s="3"/>
      <c r="P29" s="3"/>
      <c r="Q29" s="3"/>
      <c r="R29" s="3"/>
      <c r="S29" s="3"/>
      <c r="T29" s="3"/>
      <c r="U29" s="3"/>
      <c r="V29" s="3"/>
      <c r="W29" s="3"/>
      <c r="X29" s="3"/>
      <c r="Y29" s="3"/>
    </row>
    <row r="30" spans="1:25" ht="15.75" customHeight="1" x14ac:dyDescent="0.35">
      <c r="A30" s="2">
        <v>14</v>
      </c>
      <c r="B30" s="17">
        <f t="shared" si="0"/>
        <v>325</v>
      </c>
      <c r="C30" s="17">
        <f t="shared" si="1"/>
        <v>250</v>
      </c>
      <c r="D30" s="17">
        <f t="shared" si="2"/>
        <v>75</v>
      </c>
      <c r="E30" s="17">
        <f t="shared" si="3"/>
        <v>14950</v>
      </c>
      <c r="F30" s="16">
        <f t="shared" si="4"/>
        <v>11500</v>
      </c>
      <c r="G30" s="10">
        <f t="shared" si="5"/>
        <v>3450</v>
      </c>
      <c r="H30" s="3"/>
      <c r="I30" s="3"/>
      <c r="J30" s="3"/>
      <c r="K30" s="3"/>
      <c r="L30" s="3"/>
      <c r="M30" s="3"/>
      <c r="N30" s="3"/>
      <c r="O30" s="3"/>
      <c r="P30" s="3"/>
      <c r="Q30" s="3"/>
      <c r="R30" s="3"/>
      <c r="S30" s="3"/>
      <c r="T30" s="3"/>
      <c r="U30" s="3"/>
      <c r="V30" s="3"/>
      <c r="W30" s="3"/>
      <c r="X30" s="3"/>
      <c r="Y30" s="3"/>
    </row>
    <row r="31" spans="1:25" ht="15.75" customHeight="1" x14ac:dyDescent="0.35">
      <c r="A31" s="2">
        <v>15</v>
      </c>
      <c r="B31" s="17">
        <f t="shared" si="0"/>
        <v>325</v>
      </c>
      <c r="C31" s="17">
        <f t="shared" si="1"/>
        <v>250</v>
      </c>
      <c r="D31" s="17">
        <f t="shared" si="2"/>
        <v>75</v>
      </c>
      <c r="E31" s="17">
        <f t="shared" si="3"/>
        <v>14625</v>
      </c>
      <c r="F31" s="16">
        <f t="shared" si="4"/>
        <v>11250</v>
      </c>
      <c r="G31" s="10">
        <f t="shared" si="5"/>
        <v>3375</v>
      </c>
      <c r="H31" s="3"/>
      <c r="I31" s="3"/>
      <c r="J31" s="3"/>
      <c r="K31" s="3"/>
      <c r="L31" s="3"/>
      <c r="M31" s="3"/>
      <c r="N31" s="3"/>
      <c r="O31" s="3"/>
      <c r="P31" s="3"/>
      <c r="Q31" s="3"/>
      <c r="R31" s="3"/>
      <c r="S31" s="3"/>
      <c r="T31" s="3"/>
      <c r="U31" s="3"/>
      <c r="V31" s="3"/>
      <c r="W31" s="3"/>
      <c r="X31" s="3"/>
      <c r="Y31" s="3"/>
    </row>
    <row r="32" spans="1:25" ht="15.75" customHeight="1" x14ac:dyDescent="0.35">
      <c r="A32" s="2">
        <v>16</v>
      </c>
      <c r="B32" s="17">
        <f t="shared" si="0"/>
        <v>325</v>
      </c>
      <c r="C32" s="17">
        <f t="shared" si="1"/>
        <v>250</v>
      </c>
      <c r="D32" s="17">
        <f t="shared" si="2"/>
        <v>75</v>
      </c>
      <c r="E32" s="17">
        <f t="shared" si="3"/>
        <v>14300</v>
      </c>
      <c r="F32" s="16">
        <f t="shared" si="4"/>
        <v>11000</v>
      </c>
      <c r="G32" s="10">
        <f t="shared" si="5"/>
        <v>3300</v>
      </c>
      <c r="H32" s="3"/>
      <c r="I32" s="3"/>
      <c r="J32" s="3"/>
      <c r="K32" s="3"/>
      <c r="L32" s="3"/>
      <c r="M32" s="3"/>
      <c r="N32" s="3"/>
      <c r="O32" s="3"/>
      <c r="P32" s="3"/>
      <c r="Q32" s="3"/>
      <c r="R32" s="3"/>
      <c r="S32" s="3"/>
      <c r="T32" s="3"/>
      <c r="U32" s="3"/>
      <c r="V32" s="3"/>
      <c r="W32" s="3"/>
      <c r="X32" s="3"/>
      <c r="Y32" s="3"/>
    </row>
    <row r="33" spans="1:25" ht="15.75" customHeight="1" x14ac:dyDescent="0.35">
      <c r="A33" s="2">
        <v>17</v>
      </c>
      <c r="B33" s="17">
        <f t="shared" si="0"/>
        <v>325</v>
      </c>
      <c r="C33" s="17">
        <f t="shared" si="1"/>
        <v>250</v>
      </c>
      <c r="D33" s="17">
        <f t="shared" si="2"/>
        <v>75</v>
      </c>
      <c r="E33" s="17">
        <f t="shared" si="3"/>
        <v>13975</v>
      </c>
      <c r="F33" s="16">
        <f t="shared" si="4"/>
        <v>10750</v>
      </c>
      <c r="G33" s="10">
        <f t="shared" si="5"/>
        <v>3225</v>
      </c>
      <c r="H33" s="3"/>
      <c r="I33" s="3"/>
      <c r="J33" s="3"/>
      <c r="K33" s="3"/>
      <c r="L33" s="3"/>
      <c r="M33" s="3"/>
      <c r="N33" s="3"/>
      <c r="O33" s="3"/>
      <c r="P33" s="3"/>
      <c r="Q33" s="3"/>
      <c r="R33" s="3"/>
      <c r="S33" s="3"/>
      <c r="T33" s="3"/>
      <c r="U33" s="3"/>
      <c r="V33" s="3"/>
      <c r="W33" s="3"/>
      <c r="X33" s="3"/>
      <c r="Y33" s="3"/>
    </row>
    <row r="34" spans="1:25" ht="15.75" customHeight="1" x14ac:dyDescent="0.35">
      <c r="A34" s="2">
        <v>18</v>
      </c>
      <c r="B34" s="17">
        <f t="shared" si="0"/>
        <v>325</v>
      </c>
      <c r="C34" s="17">
        <f t="shared" si="1"/>
        <v>250</v>
      </c>
      <c r="D34" s="17">
        <f t="shared" si="2"/>
        <v>75</v>
      </c>
      <c r="E34" s="17">
        <f t="shared" si="3"/>
        <v>13650</v>
      </c>
      <c r="F34" s="16">
        <f t="shared" si="4"/>
        <v>10500</v>
      </c>
      <c r="G34" s="10">
        <f t="shared" si="5"/>
        <v>3150</v>
      </c>
      <c r="H34" s="3"/>
      <c r="I34" s="3"/>
      <c r="J34" s="3"/>
      <c r="K34" s="3"/>
      <c r="L34" s="3"/>
      <c r="M34" s="3"/>
      <c r="N34" s="3"/>
      <c r="O34" s="3"/>
      <c r="P34" s="3"/>
      <c r="Q34" s="3"/>
      <c r="R34" s="3"/>
      <c r="S34" s="3"/>
      <c r="T34" s="3"/>
      <c r="U34" s="3"/>
      <c r="V34" s="3"/>
      <c r="W34" s="3"/>
      <c r="X34" s="3"/>
      <c r="Y34" s="3"/>
    </row>
    <row r="35" spans="1:25" ht="15.75" customHeight="1" x14ac:dyDescent="0.35">
      <c r="A35" s="2">
        <v>19</v>
      </c>
      <c r="B35" s="17">
        <f t="shared" si="0"/>
        <v>325</v>
      </c>
      <c r="C35" s="17">
        <f t="shared" si="1"/>
        <v>250</v>
      </c>
      <c r="D35" s="17">
        <f t="shared" si="2"/>
        <v>75</v>
      </c>
      <c r="E35" s="17">
        <f t="shared" si="3"/>
        <v>13325</v>
      </c>
      <c r="F35" s="16">
        <f t="shared" si="4"/>
        <v>10250</v>
      </c>
      <c r="G35" s="10">
        <f t="shared" si="5"/>
        <v>3075</v>
      </c>
      <c r="H35" s="3"/>
      <c r="I35" s="3"/>
      <c r="J35" s="3"/>
      <c r="K35" s="3"/>
      <c r="L35" s="3"/>
      <c r="M35" s="3"/>
      <c r="N35" s="3"/>
      <c r="O35" s="3"/>
      <c r="P35" s="3"/>
      <c r="Q35" s="3"/>
      <c r="R35" s="3"/>
      <c r="S35" s="3"/>
      <c r="T35" s="3"/>
      <c r="U35" s="3"/>
      <c r="V35" s="3"/>
      <c r="W35" s="3"/>
      <c r="X35" s="3"/>
      <c r="Y35" s="3"/>
    </row>
    <row r="36" spans="1:25" ht="15.75" customHeight="1" x14ac:dyDescent="0.35">
      <c r="A36" s="2">
        <v>20</v>
      </c>
      <c r="B36" s="17">
        <f t="shared" si="0"/>
        <v>325</v>
      </c>
      <c r="C36" s="17">
        <f t="shared" si="1"/>
        <v>250</v>
      </c>
      <c r="D36" s="17">
        <f t="shared" si="2"/>
        <v>75</v>
      </c>
      <c r="E36" s="17">
        <f t="shared" si="3"/>
        <v>13000</v>
      </c>
      <c r="F36" s="16">
        <f t="shared" si="4"/>
        <v>10000</v>
      </c>
      <c r="G36" s="10">
        <f t="shared" si="5"/>
        <v>3000</v>
      </c>
      <c r="H36" s="3"/>
      <c r="I36" s="3"/>
      <c r="J36" s="3"/>
      <c r="K36" s="3"/>
      <c r="L36" s="3"/>
      <c r="M36" s="3"/>
      <c r="N36" s="3"/>
      <c r="O36" s="3"/>
      <c r="P36" s="3"/>
      <c r="Q36" s="3"/>
      <c r="R36" s="3"/>
      <c r="S36" s="3"/>
      <c r="T36" s="3"/>
      <c r="U36" s="3"/>
      <c r="V36" s="3"/>
      <c r="W36" s="3"/>
      <c r="X36" s="3"/>
      <c r="Y36" s="3"/>
    </row>
    <row r="37" spans="1:25" ht="15.75" customHeight="1" x14ac:dyDescent="0.35">
      <c r="A37" s="2">
        <v>21</v>
      </c>
      <c r="B37" s="17">
        <f t="shared" si="0"/>
        <v>325</v>
      </c>
      <c r="C37" s="17">
        <f t="shared" si="1"/>
        <v>250</v>
      </c>
      <c r="D37" s="17">
        <f t="shared" si="2"/>
        <v>75</v>
      </c>
      <c r="E37" s="17">
        <f t="shared" si="3"/>
        <v>12675</v>
      </c>
      <c r="F37" s="16">
        <f t="shared" si="4"/>
        <v>9750</v>
      </c>
      <c r="G37" s="10">
        <f t="shared" si="5"/>
        <v>2925</v>
      </c>
      <c r="H37" s="3"/>
      <c r="I37" s="3"/>
      <c r="J37" s="3"/>
      <c r="K37" s="3"/>
      <c r="L37" s="3"/>
      <c r="M37" s="3"/>
      <c r="N37" s="3"/>
      <c r="O37" s="3"/>
      <c r="P37" s="3"/>
      <c r="Q37" s="3"/>
      <c r="R37" s="3"/>
      <c r="S37" s="3"/>
      <c r="T37" s="3"/>
      <c r="U37" s="3"/>
      <c r="V37" s="3"/>
      <c r="W37" s="3"/>
      <c r="X37" s="3"/>
      <c r="Y37" s="3"/>
    </row>
    <row r="38" spans="1:25" ht="15.75" customHeight="1" x14ac:dyDescent="0.35">
      <c r="A38" s="2">
        <v>22</v>
      </c>
      <c r="B38" s="17">
        <f t="shared" si="0"/>
        <v>325</v>
      </c>
      <c r="C38" s="17">
        <f t="shared" si="1"/>
        <v>250</v>
      </c>
      <c r="D38" s="17">
        <f t="shared" si="2"/>
        <v>75</v>
      </c>
      <c r="E38" s="17">
        <f t="shared" si="3"/>
        <v>12350</v>
      </c>
      <c r="F38" s="16">
        <f t="shared" si="4"/>
        <v>9500</v>
      </c>
      <c r="G38" s="10">
        <f t="shared" si="5"/>
        <v>2850</v>
      </c>
      <c r="H38" s="3"/>
      <c r="I38" s="3"/>
      <c r="J38" s="3"/>
      <c r="K38" s="3"/>
      <c r="L38" s="3"/>
      <c r="M38" s="3"/>
      <c r="N38" s="3"/>
      <c r="O38" s="3"/>
      <c r="P38" s="3"/>
      <c r="Q38" s="3"/>
      <c r="R38" s="3"/>
      <c r="S38" s="3"/>
      <c r="T38" s="3"/>
      <c r="U38" s="3"/>
      <c r="V38" s="3"/>
      <c r="W38" s="3"/>
      <c r="X38" s="3"/>
      <c r="Y38" s="3"/>
    </row>
    <row r="39" spans="1:25" ht="15.75" customHeight="1" x14ac:dyDescent="0.35">
      <c r="A39" s="2">
        <v>23</v>
      </c>
      <c r="B39" s="17">
        <f t="shared" si="0"/>
        <v>325</v>
      </c>
      <c r="C39" s="17">
        <f t="shared" si="1"/>
        <v>250</v>
      </c>
      <c r="D39" s="17">
        <f t="shared" si="2"/>
        <v>75</v>
      </c>
      <c r="E39" s="17">
        <f t="shared" si="3"/>
        <v>12025</v>
      </c>
      <c r="F39" s="16">
        <f t="shared" si="4"/>
        <v>9250</v>
      </c>
      <c r="G39" s="10">
        <f t="shared" si="5"/>
        <v>2775</v>
      </c>
      <c r="H39" s="3"/>
      <c r="I39" s="3"/>
      <c r="J39" s="3"/>
      <c r="K39" s="3"/>
      <c r="L39" s="3"/>
      <c r="M39" s="3"/>
      <c r="N39" s="3"/>
      <c r="O39" s="3"/>
      <c r="P39" s="3"/>
      <c r="Q39" s="3"/>
      <c r="R39" s="3"/>
      <c r="S39" s="3"/>
      <c r="T39" s="3"/>
      <c r="U39" s="3"/>
      <c r="V39" s="3"/>
      <c r="W39" s="3"/>
      <c r="X39" s="3"/>
      <c r="Y39" s="3"/>
    </row>
    <row r="40" spans="1:25" ht="15.75" customHeight="1" x14ac:dyDescent="0.35">
      <c r="A40" s="2">
        <v>24</v>
      </c>
      <c r="B40" s="17">
        <f t="shared" si="0"/>
        <v>325</v>
      </c>
      <c r="C40" s="17">
        <f t="shared" si="1"/>
        <v>250</v>
      </c>
      <c r="D40" s="17">
        <f t="shared" si="2"/>
        <v>75</v>
      </c>
      <c r="E40" s="17">
        <f t="shared" si="3"/>
        <v>11700</v>
      </c>
      <c r="F40" s="16">
        <f t="shared" si="4"/>
        <v>9000</v>
      </c>
      <c r="G40" s="10">
        <f t="shared" si="5"/>
        <v>2700</v>
      </c>
      <c r="H40" s="3"/>
      <c r="I40" s="3"/>
      <c r="J40" s="3"/>
      <c r="K40" s="3"/>
      <c r="L40" s="3"/>
      <c r="M40" s="3"/>
      <c r="N40" s="3"/>
      <c r="O40" s="3"/>
      <c r="P40" s="3"/>
      <c r="Q40" s="3"/>
      <c r="R40" s="3"/>
      <c r="S40" s="3"/>
      <c r="T40" s="3"/>
      <c r="U40" s="3"/>
      <c r="V40" s="3"/>
      <c r="W40" s="3"/>
      <c r="X40" s="3"/>
      <c r="Y40" s="3"/>
    </row>
    <row r="41" spans="1:25" ht="15.75" customHeight="1" x14ac:dyDescent="0.35">
      <c r="A41" s="2">
        <v>25</v>
      </c>
      <c r="B41" s="17">
        <f t="shared" si="0"/>
        <v>325</v>
      </c>
      <c r="C41" s="17">
        <f t="shared" si="1"/>
        <v>250</v>
      </c>
      <c r="D41" s="17">
        <f t="shared" si="2"/>
        <v>75</v>
      </c>
      <c r="E41" s="17">
        <f t="shared" si="3"/>
        <v>11375</v>
      </c>
      <c r="F41" s="16">
        <f t="shared" si="4"/>
        <v>8750</v>
      </c>
      <c r="G41" s="10">
        <f t="shared" si="5"/>
        <v>2625</v>
      </c>
    </row>
    <row r="42" spans="1:25" ht="15.75" customHeight="1" x14ac:dyDescent="0.35">
      <c r="A42" s="2">
        <v>26</v>
      </c>
      <c r="B42" s="17">
        <f t="shared" si="0"/>
        <v>325</v>
      </c>
      <c r="C42" s="17">
        <f t="shared" si="1"/>
        <v>250</v>
      </c>
      <c r="D42" s="17">
        <f t="shared" si="2"/>
        <v>75</v>
      </c>
      <c r="E42" s="17">
        <f t="shared" si="3"/>
        <v>11050</v>
      </c>
      <c r="F42" s="16">
        <f t="shared" si="4"/>
        <v>8500</v>
      </c>
      <c r="G42" s="10">
        <f t="shared" si="5"/>
        <v>2550</v>
      </c>
    </row>
    <row r="43" spans="1:25" ht="15.75" customHeight="1" x14ac:dyDescent="0.35">
      <c r="A43" s="2">
        <v>27</v>
      </c>
      <c r="B43" s="17">
        <f t="shared" si="0"/>
        <v>325</v>
      </c>
      <c r="C43" s="17">
        <f t="shared" si="1"/>
        <v>250</v>
      </c>
      <c r="D43" s="17">
        <f t="shared" si="2"/>
        <v>75</v>
      </c>
      <c r="E43" s="17">
        <f t="shared" si="3"/>
        <v>10725</v>
      </c>
      <c r="F43" s="16">
        <f t="shared" si="4"/>
        <v>8250</v>
      </c>
      <c r="G43" s="10">
        <f t="shared" si="5"/>
        <v>2475</v>
      </c>
    </row>
    <row r="44" spans="1:25" ht="15.75" customHeight="1" x14ac:dyDescent="0.35">
      <c r="A44" s="2">
        <v>28</v>
      </c>
      <c r="B44" s="17">
        <f t="shared" si="0"/>
        <v>325</v>
      </c>
      <c r="C44" s="17">
        <f t="shared" si="1"/>
        <v>250</v>
      </c>
      <c r="D44" s="17">
        <f t="shared" si="2"/>
        <v>75</v>
      </c>
      <c r="E44" s="17">
        <f t="shared" si="3"/>
        <v>10400</v>
      </c>
      <c r="F44" s="16">
        <f t="shared" si="4"/>
        <v>8000</v>
      </c>
      <c r="G44" s="10">
        <f t="shared" si="5"/>
        <v>2400</v>
      </c>
    </row>
    <row r="45" spans="1:25" ht="15.75" customHeight="1" x14ac:dyDescent="0.35">
      <c r="A45" s="2">
        <v>29</v>
      </c>
      <c r="B45" s="17">
        <f t="shared" si="0"/>
        <v>325</v>
      </c>
      <c r="C45" s="17">
        <f t="shared" si="1"/>
        <v>250</v>
      </c>
      <c r="D45" s="17">
        <f t="shared" si="2"/>
        <v>75</v>
      </c>
      <c r="E45" s="17">
        <f t="shared" si="3"/>
        <v>10075</v>
      </c>
      <c r="F45" s="16">
        <f t="shared" si="4"/>
        <v>7750</v>
      </c>
      <c r="G45" s="10">
        <f t="shared" si="5"/>
        <v>2325</v>
      </c>
    </row>
    <row r="46" spans="1:25" ht="15.75" customHeight="1" x14ac:dyDescent="0.35">
      <c r="A46" s="2">
        <v>30</v>
      </c>
      <c r="B46" s="17">
        <f t="shared" si="0"/>
        <v>325</v>
      </c>
      <c r="C46" s="17">
        <f t="shared" si="1"/>
        <v>250</v>
      </c>
      <c r="D46" s="17">
        <f t="shared" si="2"/>
        <v>75</v>
      </c>
      <c r="E46" s="17">
        <f t="shared" si="3"/>
        <v>9750</v>
      </c>
      <c r="F46" s="16">
        <f t="shared" si="4"/>
        <v>7500</v>
      </c>
      <c r="G46" s="10">
        <f t="shared" si="5"/>
        <v>2250</v>
      </c>
    </row>
    <row r="47" spans="1:25" ht="15.75" customHeight="1" x14ac:dyDescent="0.35">
      <c r="A47" s="2">
        <v>31</v>
      </c>
      <c r="B47" s="17">
        <f t="shared" si="0"/>
        <v>325</v>
      </c>
      <c r="C47" s="17">
        <f t="shared" si="1"/>
        <v>250</v>
      </c>
      <c r="D47" s="17">
        <f t="shared" si="2"/>
        <v>75</v>
      </c>
      <c r="E47" s="17">
        <f t="shared" si="3"/>
        <v>9425</v>
      </c>
      <c r="F47" s="16">
        <f t="shared" si="4"/>
        <v>7250</v>
      </c>
      <c r="G47" s="10">
        <f t="shared" si="5"/>
        <v>2175</v>
      </c>
    </row>
    <row r="48" spans="1:25" ht="15.75" customHeight="1" x14ac:dyDescent="0.35">
      <c r="A48" s="2">
        <v>32</v>
      </c>
      <c r="B48" s="17">
        <f t="shared" si="0"/>
        <v>325</v>
      </c>
      <c r="C48" s="17">
        <f t="shared" si="1"/>
        <v>250</v>
      </c>
      <c r="D48" s="17">
        <f t="shared" si="2"/>
        <v>75</v>
      </c>
      <c r="E48" s="17">
        <f t="shared" si="3"/>
        <v>9100</v>
      </c>
      <c r="F48" s="16">
        <f t="shared" si="4"/>
        <v>7000</v>
      </c>
      <c r="G48" s="10">
        <f t="shared" si="5"/>
        <v>2100</v>
      </c>
    </row>
    <row r="49" spans="1:7" ht="15.75" customHeight="1" x14ac:dyDescent="0.35">
      <c r="A49" s="2">
        <v>33</v>
      </c>
      <c r="B49" s="17">
        <f t="shared" ref="B49:B76" si="6">$D$7</f>
        <v>325</v>
      </c>
      <c r="C49" s="17">
        <f t="shared" si="1"/>
        <v>250</v>
      </c>
      <c r="D49" s="17">
        <f t="shared" si="2"/>
        <v>75</v>
      </c>
      <c r="E49" s="17">
        <f t="shared" si="3"/>
        <v>8775</v>
      </c>
      <c r="F49" s="16">
        <f t="shared" si="4"/>
        <v>6750</v>
      </c>
      <c r="G49" s="10">
        <f t="shared" si="5"/>
        <v>2025</v>
      </c>
    </row>
    <row r="50" spans="1:7" ht="15.75" customHeight="1" x14ac:dyDescent="0.35">
      <c r="A50" s="2">
        <v>34</v>
      </c>
      <c r="B50" s="17">
        <f t="shared" si="6"/>
        <v>325</v>
      </c>
      <c r="C50" s="17">
        <f t="shared" si="1"/>
        <v>250</v>
      </c>
      <c r="D50" s="17">
        <f t="shared" si="2"/>
        <v>75</v>
      </c>
      <c r="E50" s="17">
        <f t="shared" si="3"/>
        <v>8450</v>
      </c>
      <c r="F50" s="16">
        <f t="shared" si="4"/>
        <v>6500</v>
      </c>
      <c r="G50" s="10">
        <f t="shared" si="5"/>
        <v>1950</v>
      </c>
    </row>
    <row r="51" spans="1:7" ht="15.75" customHeight="1" x14ac:dyDescent="0.35">
      <c r="A51" s="2">
        <v>35</v>
      </c>
      <c r="B51" s="17">
        <f t="shared" si="6"/>
        <v>325</v>
      </c>
      <c r="C51" s="17">
        <f t="shared" si="1"/>
        <v>250</v>
      </c>
      <c r="D51" s="17">
        <f t="shared" si="2"/>
        <v>75</v>
      </c>
      <c r="E51" s="17">
        <f t="shared" si="3"/>
        <v>8125</v>
      </c>
      <c r="F51" s="16">
        <f t="shared" si="4"/>
        <v>6250</v>
      </c>
      <c r="G51" s="10">
        <f t="shared" si="5"/>
        <v>1875</v>
      </c>
    </row>
    <row r="52" spans="1:7" ht="15.75" customHeight="1" x14ac:dyDescent="0.35">
      <c r="A52" s="2">
        <v>36</v>
      </c>
      <c r="B52" s="17">
        <f t="shared" si="6"/>
        <v>325</v>
      </c>
      <c r="C52" s="17">
        <f t="shared" si="1"/>
        <v>250</v>
      </c>
      <c r="D52" s="17">
        <f t="shared" si="2"/>
        <v>75</v>
      </c>
      <c r="E52" s="17">
        <f t="shared" si="3"/>
        <v>7800</v>
      </c>
      <c r="F52" s="16">
        <f t="shared" si="4"/>
        <v>6000</v>
      </c>
      <c r="G52" s="10">
        <f t="shared" si="5"/>
        <v>1800</v>
      </c>
    </row>
    <row r="53" spans="1:7" ht="15.75" customHeight="1" x14ac:dyDescent="0.35">
      <c r="A53" s="2">
        <v>37</v>
      </c>
      <c r="B53" s="17">
        <f t="shared" si="6"/>
        <v>325</v>
      </c>
      <c r="C53" s="17">
        <f t="shared" si="1"/>
        <v>250</v>
      </c>
      <c r="D53" s="17">
        <f t="shared" si="2"/>
        <v>75</v>
      </c>
      <c r="E53" s="17">
        <f t="shared" si="3"/>
        <v>7475</v>
      </c>
      <c r="F53" s="16">
        <f t="shared" si="4"/>
        <v>5750</v>
      </c>
      <c r="G53" s="10">
        <f t="shared" si="5"/>
        <v>1725</v>
      </c>
    </row>
    <row r="54" spans="1:7" ht="15.75" customHeight="1" x14ac:dyDescent="0.35">
      <c r="A54" s="2">
        <v>38</v>
      </c>
      <c r="B54" s="17">
        <f t="shared" si="6"/>
        <v>325</v>
      </c>
      <c r="C54" s="17">
        <f t="shared" si="1"/>
        <v>250</v>
      </c>
      <c r="D54" s="17">
        <f t="shared" si="2"/>
        <v>75</v>
      </c>
      <c r="E54" s="17">
        <f t="shared" si="3"/>
        <v>7150</v>
      </c>
      <c r="F54" s="16">
        <f t="shared" si="4"/>
        <v>5500</v>
      </c>
      <c r="G54" s="10">
        <f t="shared" si="5"/>
        <v>1650</v>
      </c>
    </row>
    <row r="55" spans="1:7" ht="15.75" customHeight="1" x14ac:dyDescent="0.35">
      <c r="A55" s="2">
        <v>39</v>
      </c>
      <c r="B55" s="17">
        <f t="shared" si="6"/>
        <v>325</v>
      </c>
      <c r="C55" s="17">
        <f t="shared" si="1"/>
        <v>250</v>
      </c>
      <c r="D55" s="17">
        <f t="shared" si="2"/>
        <v>75</v>
      </c>
      <c r="E55" s="17">
        <f t="shared" si="3"/>
        <v>6825</v>
      </c>
      <c r="F55" s="16">
        <f t="shared" si="4"/>
        <v>5250</v>
      </c>
      <c r="G55" s="10">
        <f t="shared" si="5"/>
        <v>1575</v>
      </c>
    </row>
    <row r="56" spans="1:7" ht="15.75" customHeight="1" x14ac:dyDescent="0.35">
      <c r="A56" s="2">
        <v>40</v>
      </c>
      <c r="B56" s="17">
        <f t="shared" si="6"/>
        <v>325</v>
      </c>
      <c r="C56" s="17">
        <f t="shared" si="1"/>
        <v>250</v>
      </c>
      <c r="D56" s="17">
        <f t="shared" si="2"/>
        <v>75</v>
      </c>
      <c r="E56" s="17">
        <f t="shared" si="3"/>
        <v>6500</v>
      </c>
      <c r="F56" s="16">
        <f t="shared" si="4"/>
        <v>5000</v>
      </c>
      <c r="G56" s="10">
        <f t="shared" si="5"/>
        <v>1500</v>
      </c>
    </row>
    <row r="57" spans="1:7" ht="15.75" customHeight="1" x14ac:dyDescent="0.35">
      <c r="A57" s="2">
        <v>41</v>
      </c>
      <c r="B57" s="17">
        <f t="shared" si="6"/>
        <v>325</v>
      </c>
      <c r="C57" s="17">
        <f t="shared" si="1"/>
        <v>250</v>
      </c>
      <c r="D57" s="17">
        <f t="shared" si="2"/>
        <v>75</v>
      </c>
      <c r="E57" s="17">
        <f t="shared" si="3"/>
        <v>6175</v>
      </c>
      <c r="F57" s="16">
        <f t="shared" si="4"/>
        <v>4750</v>
      </c>
      <c r="G57" s="10">
        <f t="shared" si="5"/>
        <v>1425</v>
      </c>
    </row>
    <row r="58" spans="1:7" ht="15.75" customHeight="1" x14ac:dyDescent="0.35">
      <c r="A58" s="2">
        <v>42</v>
      </c>
      <c r="B58" s="17">
        <f t="shared" si="6"/>
        <v>325</v>
      </c>
      <c r="C58" s="17">
        <f t="shared" si="1"/>
        <v>250</v>
      </c>
      <c r="D58" s="17">
        <f t="shared" si="2"/>
        <v>75</v>
      </c>
      <c r="E58" s="17">
        <f t="shared" si="3"/>
        <v>5850</v>
      </c>
      <c r="F58" s="16">
        <f t="shared" si="4"/>
        <v>4500</v>
      </c>
      <c r="G58" s="10">
        <f t="shared" si="5"/>
        <v>1350</v>
      </c>
    </row>
    <row r="59" spans="1:7" ht="15.75" customHeight="1" x14ac:dyDescent="0.35">
      <c r="A59" s="2">
        <v>43</v>
      </c>
      <c r="B59" s="17">
        <f t="shared" si="6"/>
        <v>325</v>
      </c>
      <c r="C59" s="17">
        <f t="shared" si="1"/>
        <v>250</v>
      </c>
      <c r="D59" s="17">
        <f t="shared" si="2"/>
        <v>75</v>
      </c>
      <c r="E59" s="17">
        <f t="shared" si="3"/>
        <v>5525</v>
      </c>
      <c r="F59" s="16">
        <f t="shared" si="4"/>
        <v>4250</v>
      </c>
      <c r="G59" s="10">
        <f t="shared" si="5"/>
        <v>1275</v>
      </c>
    </row>
    <row r="60" spans="1:7" ht="15.75" customHeight="1" x14ac:dyDescent="0.35">
      <c r="A60" s="2">
        <v>44</v>
      </c>
      <c r="B60" s="17">
        <f t="shared" si="6"/>
        <v>325</v>
      </c>
      <c r="C60" s="17">
        <f t="shared" si="1"/>
        <v>250</v>
      </c>
      <c r="D60" s="17">
        <f t="shared" si="2"/>
        <v>75</v>
      </c>
      <c r="E60" s="17">
        <f t="shared" si="3"/>
        <v>5200</v>
      </c>
      <c r="F60" s="16">
        <f t="shared" si="4"/>
        <v>4000</v>
      </c>
      <c r="G60" s="10">
        <f t="shared" si="5"/>
        <v>1200</v>
      </c>
    </row>
    <row r="61" spans="1:7" ht="15.75" customHeight="1" x14ac:dyDescent="0.35">
      <c r="A61" s="2">
        <v>45</v>
      </c>
      <c r="B61" s="17">
        <f t="shared" si="6"/>
        <v>325</v>
      </c>
      <c r="C61" s="17">
        <f t="shared" si="1"/>
        <v>250</v>
      </c>
      <c r="D61" s="17">
        <f t="shared" si="2"/>
        <v>75</v>
      </c>
      <c r="E61" s="17">
        <f t="shared" si="3"/>
        <v>4875</v>
      </c>
      <c r="F61" s="16">
        <f t="shared" si="4"/>
        <v>3750</v>
      </c>
      <c r="G61" s="10">
        <f t="shared" si="5"/>
        <v>1125</v>
      </c>
    </row>
    <row r="62" spans="1:7" ht="15.75" customHeight="1" x14ac:dyDescent="0.35">
      <c r="A62" s="2">
        <v>46</v>
      </c>
      <c r="B62" s="17">
        <f t="shared" si="6"/>
        <v>325</v>
      </c>
      <c r="C62" s="17">
        <f t="shared" si="1"/>
        <v>250</v>
      </c>
      <c r="D62" s="17">
        <f t="shared" si="2"/>
        <v>75</v>
      </c>
      <c r="E62" s="17">
        <f t="shared" si="3"/>
        <v>4550</v>
      </c>
      <c r="F62" s="16">
        <f t="shared" si="4"/>
        <v>3500</v>
      </c>
      <c r="G62" s="10">
        <f t="shared" si="5"/>
        <v>1050</v>
      </c>
    </row>
    <row r="63" spans="1:7" ht="15.75" customHeight="1" x14ac:dyDescent="0.35">
      <c r="A63" s="2">
        <v>47</v>
      </c>
      <c r="B63" s="17">
        <f t="shared" si="6"/>
        <v>325</v>
      </c>
      <c r="C63" s="17">
        <f t="shared" si="1"/>
        <v>250</v>
      </c>
      <c r="D63" s="17">
        <f t="shared" si="2"/>
        <v>75</v>
      </c>
      <c r="E63" s="17">
        <f t="shared" si="3"/>
        <v>4225</v>
      </c>
      <c r="F63" s="16">
        <f t="shared" si="4"/>
        <v>3250</v>
      </c>
      <c r="G63" s="10">
        <f t="shared" si="5"/>
        <v>975</v>
      </c>
    </row>
    <row r="64" spans="1:7" ht="15.75" customHeight="1" x14ac:dyDescent="0.35">
      <c r="A64" s="2">
        <v>48</v>
      </c>
      <c r="B64" s="17">
        <f t="shared" si="6"/>
        <v>325</v>
      </c>
      <c r="C64" s="17">
        <f t="shared" si="1"/>
        <v>250</v>
      </c>
      <c r="D64" s="17">
        <f t="shared" si="2"/>
        <v>75</v>
      </c>
      <c r="E64" s="17">
        <f t="shared" si="3"/>
        <v>3900</v>
      </c>
      <c r="F64" s="16">
        <f t="shared" si="4"/>
        <v>3000</v>
      </c>
      <c r="G64" s="10">
        <f t="shared" si="5"/>
        <v>900</v>
      </c>
    </row>
    <row r="65" spans="1:7" ht="15.75" customHeight="1" x14ac:dyDescent="0.35">
      <c r="A65" s="2">
        <v>49</v>
      </c>
      <c r="B65" s="17">
        <f t="shared" si="6"/>
        <v>325</v>
      </c>
      <c r="C65" s="17">
        <f t="shared" si="1"/>
        <v>250</v>
      </c>
      <c r="D65" s="17">
        <f t="shared" si="2"/>
        <v>75</v>
      </c>
      <c r="E65" s="17">
        <f t="shared" si="3"/>
        <v>3575</v>
      </c>
      <c r="F65" s="16">
        <f t="shared" si="4"/>
        <v>2750</v>
      </c>
      <c r="G65" s="10">
        <f t="shared" si="5"/>
        <v>825</v>
      </c>
    </row>
    <row r="66" spans="1:7" ht="15.75" customHeight="1" x14ac:dyDescent="0.35">
      <c r="A66" s="2">
        <v>50</v>
      </c>
      <c r="B66" s="17">
        <f t="shared" si="6"/>
        <v>325</v>
      </c>
      <c r="C66" s="17">
        <f t="shared" si="1"/>
        <v>250</v>
      </c>
      <c r="D66" s="17">
        <f t="shared" si="2"/>
        <v>75</v>
      </c>
      <c r="E66" s="17">
        <f t="shared" si="3"/>
        <v>3250</v>
      </c>
      <c r="F66" s="16">
        <f t="shared" si="4"/>
        <v>2500</v>
      </c>
      <c r="G66" s="10">
        <f t="shared" si="5"/>
        <v>750</v>
      </c>
    </row>
    <row r="67" spans="1:7" ht="15.75" customHeight="1" x14ac:dyDescent="0.35">
      <c r="A67" s="2">
        <v>51</v>
      </c>
      <c r="B67" s="17">
        <f t="shared" si="6"/>
        <v>325</v>
      </c>
      <c r="C67" s="17">
        <f t="shared" si="1"/>
        <v>250</v>
      </c>
      <c r="D67" s="17">
        <f t="shared" si="2"/>
        <v>75</v>
      </c>
      <c r="E67" s="17">
        <f t="shared" si="3"/>
        <v>2925</v>
      </c>
      <c r="F67" s="16">
        <f t="shared" si="4"/>
        <v>2250</v>
      </c>
      <c r="G67" s="10">
        <f t="shared" si="5"/>
        <v>675</v>
      </c>
    </row>
    <row r="68" spans="1:7" ht="15.75" customHeight="1" x14ac:dyDescent="0.35">
      <c r="A68" s="2">
        <v>52</v>
      </c>
      <c r="B68" s="17">
        <f t="shared" si="6"/>
        <v>325</v>
      </c>
      <c r="C68" s="17">
        <f t="shared" si="1"/>
        <v>250</v>
      </c>
      <c r="D68" s="17">
        <f t="shared" si="2"/>
        <v>75</v>
      </c>
      <c r="E68" s="17">
        <f t="shared" si="3"/>
        <v>2600</v>
      </c>
      <c r="F68" s="16">
        <f t="shared" si="4"/>
        <v>2000</v>
      </c>
      <c r="G68" s="10">
        <f t="shared" si="5"/>
        <v>600</v>
      </c>
    </row>
    <row r="69" spans="1:7" ht="15.75" customHeight="1" x14ac:dyDescent="0.35">
      <c r="A69" s="2">
        <v>53</v>
      </c>
      <c r="B69" s="17">
        <f t="shared" si="6"/>
        <v>325</v>
      </c>
      <c r="C69" s="17">
        <f t="shared" si="1"/>
        <v>250</v>
      </c>
      <c r="D69" s="17">
        <f t="shared" si="2"/>
        <v>75</v>
      </c>
      <c r="E69" s="17">
        <f t="shared" si="3"/>
        <v>2275</v>
      </c>
      <c r="F69" s="16">
        <f t="shared" si="4"/>
        <v>1750</v>
      </c>
      <c r="G69" s="10">
        <f t="shared" si="5"/>
        <v>525</v>
      </c>
    </row>
    <row r="70" spans="1:7" ht="15.75" customHeight="1" x14ac:dyDescent="0.35">
      <c r="A70" s="2">
        <v>54</v>
      </c>
      <c r="B70" s="17">
        <f t="shared" si="6"/>
        <v>325</v>
      </c>
      <c r="C70" s="17">
        <f t="shared" si="1"/>
        <v>250</v>
      </c>
      <c r="D70" s="17">
        <f t="shared" si="2"/>
        <v>75</v>
      </c>
      <c r="E70" s="17">
        <f t="shared" si="3"/>
        <v>1950</v>
      </c>
      <c r="F70" s="16">
        <f t="shared" si="4"/>
        <v>1500</v>
      </c>
      <c r="G70" s="10">
        <f t="shared" si="5"/>
        <v>450</v>
      </c>
    </row>
    <row r="71" spans="1:7" ht="15.75" customHeight="1" x14ac:dyDescent="0.35">
      <c r="A71" s="2">
        <v>55</v>
      </c>
      <c r="B71" s="17">
        <f t="shared" si="6"/>
        <v>325</v>
      </c>
      <c r="C71" s="17">
        <f t="shared" si="1"/>
        <v>250</v>
      </c>
      <c r="D71" s="17">
        <f t="shared" si="2"/>
        <v>75</v>
      </c>
      <c r="E71" s="17">
        <f t="shared" si="3"/>
        <v>1625</v>
      </c>
      <c r="F71" s="16">
        <f t="shared" si="4"/>
        <v>1250</v>
      </c>
      <c r="G71" s="10">
        <f t="shared" si="5"/>
        <v>375</v>
      </c>
    </row>
    <row r="72" spans="1:7" ht="15.75" customHeight="1" x14ac:dyDescent="0.35">
      <c r="A72" s="2">
        <v>56</v>
      </c>
      <c r="B72" s="17">
        <f t="shared" si="6"/>
        <v>325</v>
      </c>
      <c r="C72" s="17">
        <f t="shared" si="1"/>
        <v>250</v>
      </c>
      <c r="D72" s="17">
        <f t="shared" si="2"/>
        <v>75</v>
      </c>
      <c r="E72" s="17">
        <f t="shared" si="3"/>
        <v>1300</v>
      </c>
      <c r="F72" s="16">
        <f t="shared" si="4"/>
        <v>1000</v>
      </c>
      <c r="G72" s="10">
        <f t="shared" si="5"/>
        <v>300</v>
      </c>
    </row>
    <row r="73" spans="1:7" ht="15.75" customHeight="1" x14ac:dyDescent="0.35">
      <c r="A73" s="2">
        <v>57</v>
      </c>
      <c r="B73" s="17">
        <f t="shared" si="6"/>
        <v>325</v>
      </c>
      <c r="C73" s="17">
        <f t="shared" si="1"/>
        <v>250</v>
      </c>
      <c r="D73" s="17">
        <f t="shared" si="2"/>
        <v>75</v>
      </c>
      <c r="E73" s="17">
        <f t="shared" si="3"/>
        <v>975</v>
      </c>
      <c r="F73" s="16">
        <f t="shared" si="4"/>
        <v>750</v>
      </c>
      <c r="G73" s="10">
        <f t="shared" si="5"/>
        <v>225</v>
      </c>
    </row>
    <row r="74" spans="1:7" ht="15.75" customHeight="1" x14ac:dyDescent="0.35">
      <c r="A74" s="2">
        <v>58</v>
      </c>
      <c r="B74" s="17">
        <f t="shared" si="6"/>
        <v>325</v>
      </c>
      <c r="C74" s="17">
        <f t="shared" si="1"/>
        <v>250</v>
      </c>
      <c r="D74" s="17">
        <f t="shared" si="2"/>
        <v>75</v>
      </c>
      <c r="E74" s="17">
        <f t="shared" si="3"/>
        <v>650</v>
      </c>
      <c r="F74" s="16">
        <f t="shared" si="4"/>
        <v>500</v>
      </c>
      <c r="G74" s="10">
        <f t="shared" si="5"/>
        <v>150</v>
      </c>
    </row>
    <row r="75" spans="1:7" ht="15.75" customHeight="1" x14ac:dyDescent="0.35">
      <c r="A75" s="68">
        <v>59</v>
      </c>
      <c r="B75" s="69">
        <f t="shared" si="6"/>
        <v>325</v>
      </c>
      <c r="C75" s="69">
        <f t="shared" si="1"/>
        <v>250</v>
      </c>
      <c r="D75" s="69">
        <f t="shared" si="2"/>
        <v>75</v>
      </c>
      <c r="E75" s="69">
        <f t="shared" si="3"/>
        <v>325</v>
      </c>
      <c r="F75" s="70">
        <f t="shared" si="4"/>
        <v>250</v>
      </c>
      <c r="G75" s="71">
        <f t="shared" si="5"/>
        <v>75</v>
      </c>
    </row>
    <row r="76" spans="1:7" ht="15.75" customHeight="1" x14ac:dyDescent="0.35">
      <c r="A76" s="75">
        <v>60</v>
      </c>
      <c r="B76" s="76">
        <f t="shared" si="6"/>
        <v>325</v>
      </c>
      <c r="C76" s="76">
        <f t="shared" si="1"/>
        <v>250</v>
      </c>
      <c r="D76" s="76">
        <f t="shared" si="2"/>
        <v>75</v>
      </c>
      <c r="E76" s="76">
        <f t="shared" si="3"/>
        <v>0</v>
      </c>
      <c r="F76" s="76">
        <f t="shared" si="4"/>
        <v>0</v>
      </c>
      <c r="G76" s="10">
        <f t="shared" si="5"/>
        <v>0</v>
      </c>
    </row>
    <row r="77" spans="1:7" ht="15.75" customHeight="1" x14ac:dyDescent="0.35">
      <c r="A77" s="72"/>
      <c r="B77" s="73"/>
      <c r="C77" s="73"/>
      <c r="D77" s="73"/>
      <c r="E77" s="73"/>
      <c r="F77" s="73"/>
      <c r="G77" s="74"/>
    </row>
    <row r="78" spans="1:7" ht="15.75" customHeight="1" x14ac:dyDescent="0.35"/>
    <row r="79" spans="1:7" ht="15.75" customHeight="1" x14ac:dyDescent="0.35"/>
    <row r="80" spans="1:7"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sheetData>
  <mergeCells count="9">
    <mergeCell ref="G11:G15"/>
    <mergeCell ref="E11:E15"/>
    <mergeCell ref="A1:F1"/>
    <mergeCell ref="B3:E3"/>
    <mergeCell ref="B5:E5"/>
    <mergeCell ref="A11:A15"/>
    <mergeCell ref="B11:B15"/>
    <mergeCell ref="C11:D13"/>
    <mergeCell ref="F11:F15"/>
  </mergeCells>
  <pageMargins left="0.7" right="0.7" top="0.75" bottom="0.75"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E51F0-E40F-46AE-8E70-BE67665228D6}">
  <dimension ref="A2:O63"/>
  <sheetViews>
    <sheetView zoomScale="63" workbookViewId="0">
      <selection activeCell="L12" sqref="L12"/>
    </sheetView>
  </sheetViews>
  <sheetFormatPr defaultColWidth="9.08984375" defaultRowHeight="13.5" x14ac:dyDescent="0.25"/>
  <cols>
    <col min="1" max="1" width="9.08984375" style="6"/>
    <col min="2" max="2" width="19.54296875" style="6" customWidth="1"/>
    <col min="3" max="3" width="1.54296875" style="6" customWidth="1"/>
    <col min="4" max="4" width="22.08984375" style="6" customWidth="1"/>
    <col min="5" max="5" width="4.36328125" style="6" customWidth="1"/>
    <col min="6" max="6" width="14" style="6" customWidth="1"/>
    <col min="7" max="7" width="6" style="6" bestFit="1" customWidth="1"/>
    <col min="8" max="9" width="9.08984375" style="6"/>
    <col min="10" max="10" width="20.453125" style="6" customWidth="1"/>
    <col min="11" max="11" width="1.6328125" style="6" customWidth="1"/>
    <col min="12" max="12" width="21.453125" style="6" bestFit="1" customWidth="1"/>
    <col min="13" max="13" width="12.6328125" style="6" bestFit="1" customWidth="1"/>
    <col min="14" max="14" width="5.54296875" style="6" customWidth="1"/>
    <col min="15" max="16384" width="9.08984375" style="6"/>
  </cols>
  <sheetData>
    <row r="2" spans="1:15" ht="14" x14ac:dyDescent="0.3">
      <c r="I2" s="18" t="s">
        <v>31</v>
      </c>
    </row>
    <row r="3" spans="1:15" ht="14" x14ac:dyDescent="0.3">
      <c r="A3" s="18"/>
      <c r="I3" s="18" t="s">
        <v>70</v>
      </c>
    </row>
    <row r="4" spans="1:15" ht="14" x14ac:dyDescent="0.3">
      <c r="A4" s="18"/>
      <c r="I4" s="18" t="s">
        <v>72</v>
      </c>
    </row>
    <row r="5" spans="1:15" ht="14" x14ac:dyDescent="0.3">
      <c r="A5" s="18"/>
      <c r="I5" s="18"/>
    </row>
    <row r="6" spans="1:15" ht="14" x14ac:dyDescent="0.3">
      <c r="A6" s="18"/>
      <c r="I6" s="18"/>
    </row>
    <row r="7" spans="1:15" ht="14" x14ac:dyDescent="0.3">
      <c r="A7" s="18"/>
      <c r="I7" s="6" t="s">
        <v>32</v>
      </c>
      <c r="K7" s="6" t="s">
        <v>33</v>
      </c>
      <c r="L7" s="38">
        <v>15000</v>
      </c>
    </row>
    <row r="8" spans="1:15" x14ac:dyDescent="0.25">
      <c r="A8" s="6" t="s">
        <v>34</v>
      </c>
      <c r="B8" s="6" t="s">
        <v>33</v>
      </c>
    </row>
    <row r="9" spans="1:15" ht="14" x14ac:dyDescent="0.3">
      <c r="A9" s="6" t="s">
        <v>35</v>
      </c>
      <c r="B9" s="6" t="s">
        <v>33</v>
      </c>
      <c r="I9" s="6" t="s">
        <v>73</v>
      </c>
      <c r="K9" s="6" t="s">
        <v>33</v>
      </c>
      <c r="L9" s="27">
        <v>60</v>
      </c>
      <c r="M9" s="6" t="s">
        <v>36</v>
      </c>
      <c r="N9" s="39">
        <f>L9/12</f>
        <v>5</v>
      </c>
      <c r="O9" s="6" t="s">
        <v>37</v>
      </c>
    </row>
    <row r="11" spans="1:15" x14ac:dyDescent="0.25">
      <c r="A11" s="6" t="s">
        <v>38</v>
      </c>
      <c r="I11" s="6" t="s">
        <v>39</v>
      </c>
      <c r="K11" s="6" t="s">
        <v>33</v>
      </c>
      <c r="L11" s="40">
        <v>0.06</v>
      </c>
      <c r="M11" s="6" t="s">
        <v>40</v>
      </c>
    </row>
    <row r="13" spans="1:15" x14ac:dyDescent="0.25">
      <c r="I13" s="6" t="s">
        <v>41</v>
      </c>
      <c r="K13" s="6" t="s">
        <v>33</v>
      </c>
      <c r="L13" s="27">
        <v>10</v>
      </c>
      <c r="M13" s="6" t="s">
        <v>42</v>
      </c>
    </row>
    <row r="14" spans="1:15" x14ac:dyDescent="0.25">
      <c r="A14" s="6" t="s">
        <v>43</v>
      </c>
      <c r="C14" s="6" t="s">
        <v>33</v>
      </c>
    </row>
    <row r="15" spans="1:15" x14ac:dyDescent="0.25">
      <c r="A15" s="6" t="s">
        <v>44</v>
      </c>
      <c r="C15" s="6" t="s">
        <v>33</v>
      </c>
      <c r="I15" s="6" t="s">
        <v>32</v>
      </c>
      <c r="K15" s="6" t="s">
        <v>33</v>
      </c>
      <c r="L15" s="41">
        <f>L7</f>
        <v>15000</v>
      </c>
    </row>
    <row r="16" spans="1:15" x14ac:dyDescent="0.25">
      <c r="A16" s="6" t="s">
        <v>45</v>
      </c>
      <c r="C16" s="6" t="s">
        <v>33</v>
      </c>
      <c r="D16" s="42"/>
      <c r="L16" s="41"/>
    </row>
    <row r="17" spans="1:14" x14ac:dyDescent="0.25">
      <c r="D17" s="42"/>
      <c r="I17" s="6" t="s">
        <v>46</v>
      </c>
      <c r="K17" s="6" t="s">
        <v>33</v>
      </c>
      <c r="L17" s="43">
        <f>L11</f>
        <v>0.06</v>
      </c>
      <c r="M17" s="6" t="s">
        <v>40</v>
      </c>
    </row>
    <row r="18" spans="1:14" x14ac:dyDescent="0.25">
      <c r="A18" s="6" t="s">
        <v>47</v>
      </c>
      <c r="C18" s="6" t="s">
        <v>33</v>
      </c>
      <c r="D18" s="44">
        <f>(L34)</f>
        <v>16250</v>
      </c>
      <c r="L18" s="43"/>
    </row>
    <row r="19" spans="1:14" ht="15" customHeight="1" x14ac:dyDescent="0.25"/>
    <row r="20" spans="1:14" ht="15" customHeight="1" x14ac:dyDescent="0.25">
      <c r="A20" s="6" t="s">
        <v>75</v>
      </c>
      <c r="C20" s="6" t="s">
        <v>33</v>
      </c>
      <c r="D20" s="41">
        <f>L36</f>
        <v>3750</v>
      </c>
      <c r="I20" s="6" t="s">
        <v>48</v>
      </c>
    </row>
    <row r="21" spans="1:14" ht="15" customHeight="1" x14ac:dyDescent="0.25">
      <c r="D21" s="45"/>
      <c r="I21" s="6" t="s">
        <v>49</v>
      </c>
      <c r="K21" s="6" t="s">
        <v>33</v>
      </c>
      <c r="L21" s="41">
        <f>L15*N9*L17</f>
        <v>4500</v>
      </c>
    </row>
    <row r="22" spans="1:14" ht="15" customHeight="1" x14ac:dyDescent="0.25">
      <c r="A22" s="6" t="s">
        <v>50</v>
      </c>
      <c r="D22" s="41"/>
    </row>
    <row r="23" spans="1:14" ht="15" customHeight="1" thickBot="1" x14ac:dyDescent="0.35">
      <c r="A23" s="6" t="s">
        <v>51</v>
      </c>
      <c r="C23" s="6" t="s">
        <v>33</v>
      </c>
      <c r="D23" s="46">
        <f>L38</f>
        <v>12825</v>
      </c>
      <c r="I23" s="6" t="s">
        <v>54</v>
      </c>
    </row>
    <row r="24" spans="1:14" ht="15" customHeight="1" thickTop="1" x14ac:dyDescent="0.25">
      <c r="D24" s="41"/>
      <c r="I24" s="6" t="s">
        <v>55</v>
      </c>
      <c r="L24" s="66">
        <f>L15</f>
        <v>15000</v>
      </c>
    </row>
    <row r="25" spans="1:14" ht="15" customHeight="1" x14ac:dyDescent="0.25">
      <c r="A25" s="6" t="s">
        <v>53</v>
      </c>
      <c r="C25" s="6" t="s">
        <v>33</v>
      </c>
      <c r="I25" s="6" t="s">
        <v>2</v>
      </c>
      <c r="L25" s="66">
        <f>L24+L21</f>
        <v>19500</v>
      </c>
      <c r="M25" s="47"/>
    </row>
    <row r="26" spans="1:14" ht="15" customHeight="1" x14ac:dyDescent="0.25"/>
    <row r="27" spans="1:14" ht="15" customHeight="1" x14ac:dyDescent="0.25">
      <c r="I27" s="6" t="s">
        <v>52</v>
      </c>
      <c r="K27" s="6" t="s">
        <v>33</v>
      </c>
      <c r="L27" s="41">
        <f>L25/L9</f>
        <v>325</v>
      </c>
      <c r="M27" s="47">
        <f>L7/L9</f>
        <v>250</v>
      </c>
      <c r="N27" s="6" t="s">
        <v>26</v>
      </c>
    </row>
    <row r="28" spans="1:14" ht="15" customHeight="1" x14ac:dyDescent="0.25">
      <c r="A28" s="6" t="s">
        <v>56</v>
      </c>
      <c r="C28" s="6" t="s">
        <v>33</v>
      </c>
      <c r="F28" s="42"/>
      <c r="M28" s="47">
        <f>L21/L9</f>
        <v>75</v>
      </c>
      <c r="N28" s="6" t="s">
        <v>27</v>
      </c>
    </row>
    <row r="29" spans="1:14" x14ac:dyDescent="0.25">
      <c r="F29" s="42"/>
      <c r="I29" s="6" t="s">
        <v>12</v>
      </c>
    </row>
    <row r="30" spans="1:14" x14ac:dyDescent="0.25">
      <c r="A30" s="6" t="s">
        <v>57</v>
      </c>
      <c r="C30" s="6" t="s">
        <v>33</v>
      </c>
      <c r="D30" s="48"/>
      <c r="E30" s="6" t="s">
        <v>8</v>
      </c>
      <c r="F30" s="49"/>
      <c r="I30" s="6" t="s">
        <v>14</v>
      </c>
      <c r="K30" s="6" t="s">
        <v>33</v>
      </c>
      <c r="L30" s="42">
        <f>L13</f>
        <v>10</v>
      </c>
      <c r="M30" s="6" t="s">
        <v>42</v>
      </c>
    </row>
    <row r="31" spans="1:14" x14ac:dyDescent="0.25">
      <c r="C31" s="6" t="s">
        <v>33</v>
      </c>
      <c r="D31" s="48"/>
      <c r="E31" s="6" t="s">
        <v>8</v>
      </c>
      <c r="F31" s="50"/>
    </row>
    <row r="32" spans="1:14" x14ac:dyDescent="0.25">
      <c r="C32" s="6" t="s">
        <v>33</v>
      </c>
      <c r="D32" s="48"/>
      <c r="E32" s="6" t="s">
        <v>8</v>
      </c>
      <c r="F32" s="50"/>
      <c r="I32" s="6" t="s">
        <v>58</v>
      </c>
      <c r="K32" s="6" t="s">
        <v>33</v>
      </c>
      <c r="L32" s="42">
        <f>L9-L30</f>
        <v>50</v>
      </c>
      <c r="M32" s="6" t="s">
        <v>42</v>
      </c>
    </row>
    <row r="33" spans="1:13" x14ac:dyDescent="0.25">
      <c r="C33" s="6" t="s">
        <v>33</v>
      </c>
      <c r="D33" s="48"/>
      <c r="E33" s="6" t="s">
        <v>8</v>
      </c>
      <c r="F33" s="50"/>
    </row>
    <row r="34" spans="1:13" x14ac:dyDescent="0.25">
      <c r="C34" s="6" t="s">
        <v>33</v>
      </c>
      <c r="D34" s="48"/>
      <c r="E34" s="6" t="s">
        <v>8</v>
      </c>
      <c r="F34" s="50"/>
      <c r="I34" s="6" t="s">
        <v>59</v>
      </c>
      <c r="K34" s="6" t="s">
        <v>33</v>
      </c>
      <c r="L34" s="41">
        <f>(L15+L21)-(L27*L30)</f>
        <v>16250</v>
      </c>
    </row>
    <row r="35" spans="1:13" x14ac:dyDescent="0.25">
      <c r="C35" s="6" t="s">
        <v>33</v>
      </c>
      <c r="D35" s="48"/>
      <c r="E35" s="6" t="s">
        <v>8</v>
      </c>
      <c r="F35" s="51"/>
    </row>
    <row r="36" spans="1:13" ht="14" x14ac:dyDescent="0.3">
      <c r="D36" s="48"/>
      <c r="F36" s="49"/>
      <c r="I36" s="18" t="s">
        <v>60</v>
      </c>
      <c r="K36" s="6" t="s">
        <v>33</v>
      </c>
      <c r="L36" s="52">
        <f>JadualBayaranPmbynPrltnRumah!K6</f>
        <v>3750</v>
      </c>
    </row>
    <row r="37" spans="1:13" ht="14" thickBot="1" x14ac:dyDescent="0.3">
      <c r="D37" s="53" t="s">
        <v>61</v>
      </c>
      <c r="E37" s="6" t="s">
        <v>8</v>
      </c>
      <c r="F37" s="54">
        <f>(F30+F31+F32+F33+F34+F35)</f>
        <v>0</v>
      </c>
    </row>
    <row r="38" spans="1:13" ht="15" thickTop="1" thickBot="1" x14ac:dyDescent="0.35">
      <c r="I38" s="18" t="s">
        <v>62</v>
      </c>
      <c r="K38" s="6" t="s">
        <v>33</v>
      </c>
      <c r="L38" s="46">
        <f>L34+L27-L36</f>
        <v>12825</v>
      </c>
    </row>
    <row r="39" spans="1:13" ht="14.5" thickTop="1" x14ac:dyDescent="0.3">
      <c r="I39" s="18" t="s">
        <v>71</v>
      </c>
    </row>
    <row r="41" spans="1:13" ht="14" x14ac:dyDescent="0.3">
      <c r="I41" s="55"/>
      <c r="J41" s="56"/>
      <c r="K41" s="55"/>
      <c r="L41" s="57" t="s">
        <v>8</v>
      </c>
      <c r="M41" s="57" t="s">
        <v>8</v>
      </c>
    </row>
    <row r="42" spans="1:13" ht="14" x14ac:dyDescent="0.3">
      <c r="I42" s="58"/>
      <c r="J42" s="59"/>
      <c r="K42" s="58"/>
      <c r="L42" s="60"/>
      <c r="M42" s="60"/>
    </row>
    <row r="43" spans="1:13" x14ac:dyDescent="0.25">
      <c r="I43" s="55"/>
      <c r="J43" s="55" t="s">
        <v>63</v>
      </c>
      <c r="K43" s="55"/>
      <c r="L43" s="61"/>
      <c r="M43" s="61">
        <f>M27*L32</f>
        <v>12500</v>
      </c>
    </row>
    <row r="44" spans="1:13" x14ac:dyDescent="0.25">
      <c r="A44" s="6" t="s">
        <v>66</v>
      </c>
      <c r="D44" s="42"/>
      <c r="I44" s="55"/>
      <c r="J44" s="55"/>
      <c r="K44" s="55"/>
      <c r="L44" s="61"/>
      <c r="M44" s="61"/>
    </row>
    <row r="45" spans="1:13" x14ac:dyDescent="0.25">
      <c r="D45" s="42"/>
      <c r="I45" s="55"/>
      <c r="J45" s="55" t="s">
        <v>3</v>
      </c>
      <c r="K45" s="55"/>
      <c r="L45" s="62">
        <f>M28*L32</f>
        <v>3750</v>
      </c>
      <c r="M45" s="63"/>
    </row>
    <row r="46" spans="1:13" x14ac:dyDescent="0.25">
      <c r="I46" s="55"/>
      <c r="J46" s="55" t="s">
        <v>64</v>
      </c>
      <c r="K46" s="55"/>
      <c r="L46" s="62">
        <f>L36</f>
        <v>3750</v>
      </c>
      <c r="M46" s="63">
        <f>L45-L46</f>
        <v>0</v>
      </c>
    </row>
    <row r="47" spans="1:13" ht="14" x14ac:dyDescent="0.3">
      <c r="A47" s="18" t="s">
        <v>67</v>
      </c>
      <c r="I47" s="64"/>
      <c r="J47" s="55"/>
      <c r="K47" s="55"/>
      <c r="L47" s="63"/>
      <c r="M47" s="63"/>
    </row>
    <row r="48" spans="1:13" ht="14" x14ac:dyDescent="0.3">
      <c r="A48" s="6" t="s">
        <v>68</v>
      </c>
      <c r="I48" s="64"/>
      <c r="J48" s="55" t="s">
        <v>65</v>
      </c>
      <c r="K48" s="55"/>
      <c r="L48" s="61"/>
      <c r="M48" s="63">
        <f>SUM(M43:M46)</f>
        <v>12500</v>
      </c>
    </row>
    <row r="49" spans="1:6" ht="14" x14ac:dyDescent="0.3">
      <c r="A49" s="6" t="s">
        <v>69</v>
      </c>
      <c r="D49" s="52"/>
    </row>
    <row r="51" spans="1:6" ht="14" x14ac:dyDescent="0.3">
      <c r="D51" s="52"/>
    </row>
    <row r="52" spans="1:6" ht="14" x14ac:dyDescent="0.3">
      <c r="A52" s="18"/>
    </row>
    <row r="63" spans="1:6" x14ac:dyDescent="0.25">
      <c r="A63" s="96"/>
      <c r="B63" s="96"/>
      <c r="E63" s="96"/>
      <c r="F63" s="96"/>
    </row>
  </sheetData>
  <mergeCells count="2">
    <mergeCell ref="A63:B63"/>
    <mergeCell ref="E63:F6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JadualBayaranPmbynPrltnRumah</vt:lpstr>
      <vt:lpstr>Pengiraan Pembayaran Penuh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TC04</dc:creator>
  <cp:lastModifiedBy>Tawafuq Consultancy 02</cp:lastModifiedBy>
  <dcterms:created xsi:type="dcterms:W3CDTF">2023-11-16T08:28:57Z</dcterms:created>
  <dcterms:modified xsi:type="dcterms:W3CDTF">2023-12-17T01:29:19Z</dcterms:modified>
</cp:coreProperties>
</file>